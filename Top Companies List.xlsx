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uturaj Chavan\Downloads\"/>
    </mc:Choice>
  </mc:AlternateContent>
  <xr:revisionPtr revIDLastSave="0" documentId="13_ncr:1_{77C7C8D2-0C01-416C-AB20-D05E01B5A9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Companies (1-600)" sheetId="2" r:id="rId1"/>
    <sheet name="Ranks 1-200 (Part 1)" sheetId="3" r:id="rId2"/>
    <sheet name="Ranks 201-400 (Part 2)" sheetId="4" r:id="rId3"/>
    <sheet name="Ranks 401-600 (Part 3)" sheetId="5" r:id="rId4"/>
  </sheets>
  <definedNames>
    <definedName name="_xlnm._FilterDatabase" localSheetId="0" hidden="1">'All Companies (1-600)'!$A$3:$G$603</definedName>
    <definedName name="_xlnm._FilterDatabase" localSheetId="1" hidden="1">'Ranks 1-200 (Part 1)'!$A$4:$G$204</definedName>
    <definedName name="_xlnm._FilterDatabase" localSheetId="2" hidden="1">'Ranks 201-400 (Part 2)'!$A$4:$G$204</definedName>
    <definedName name="_xlnm._FilterDatabase" localSheetId="3" hidden="1">'Ranks 401-600 (Part 3)'!$A$4:$G$204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4" i="5" l="1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</calcChain>
</file>

<file path=xl/sharedStrings.xml><?xml version="1.0" encoding="utf-8"?>
<sst xmlns="http://schemas.openxmlformats.org/spreadsheetml/2006/main" count="3636" uniqueCount="1294">
  <si>
    <t>Master Directory: Top 600 Companies (Ranks #1 - #600)</t>
  </si>
  <si>
    <t>Consolidated Lateral Compensation &amp; Direct Career Portals | Sorted in Strict Descending Order of CTC</t>
  </si>
  <si>
    <t>Rank</t>
  </si>
  <si>
    <t>Company Name</t>
  </si>
  <si>
    <t>Sector &amp; Domain Focus</t>
  </si>
  <si>
    <t>Total CTC Band (₹ LPA)</t>
  </si>
  <si>
    <t>Min Base (₹ L)</t>
  </si>
  <si>
    <t>Max Base (₹ L)</t>
  </si>
  <si>
    <t>Career Portal Link</t>
  </si>
  <si>
    <t>Jane Street</t>
  </si>
  <si>
    <t>Quantitative Trading / Market Making</t>
  </si>
  <si>
    <t>50.00 - 75.00</t>
  </si>
  <si>
    <t>Tower Research Capital</t>
  </si>
  <si>
    <t>High-Frequency Trading (HFT)</t>
  </si>
  <si>
    <t>45.00 - 65.00</t>
  </si>
  <si>
    <t>Graviton Research Capital</t>
  </si>
  <si>
    <t>Quantitative Trading &amp; Alpha Research</t>
  </si>
  <si>
    <t>42.00 - 60.00</t>
  </si>
  <si>
    <t>Citadel / Citadel Securities</t>
  </si>
  <si>
    <t>Global Hedge Fund &amp; Market Maker</t>
  </si>
  <si>
    <t>42.00 - 62.00</t>
  </si>
  <si>
    <t>Hudson River Trading (HRT)</t>
  </si>
  <si>
    <t>Automated Quantitative Trading</t>
  </si>
  <si>
    <t>40.00 - 58.00</t>
  </si>
  <si>
    <t>Jump Trading</t>
  </si>
  <si>
    <t>Algorithmic &amp; High-Frequency Trading</t>
  </si>
  <si>
    <t>D. E. Shaw India</t>
  </si>
  <si>
    <t>Quantitative &amp; Technology Development</t>
  </si>
  <si>
    <t>35.00 - 52.00</t>
  </si>
  <si>
    <t>WorldQuant</t>
  </si>
  <si>
    <t>Quantitative Virtual Research &amp; Alpha Tech</t>
  </si>
  <si>
    <t>32.00 - 48.00</t>
  </si>
  <si>
    <t>Optiver</t>
  </si>
  <si>
    <t>Market Making &amp; Derivatives Trading</t>
  </si>
  <si>
    <t>Meta (Facebook)</t>
  </si>
  <si>
    <t>Global Big Tech / Social Ecosystems</t>
  </si>
  <si>
    <t>28.00 - 40.00</t>
  </si>
  <si>
    <t>Google India</t>
  </si>
  <si>
    <t>Global Big Tech / Cloud &amp; Ads Analytics</t>
  </si>
  <si>
    <t>26.00 - 38.00</t>
  </si>
  <si>
    <t>Stripe</t>
  </si>
  <si>
    <t>Fintech Infrastructure &amp; Payment Systems</t>
  </si>
  <si>
    <t>25.00 - 36.00</t>
  </si>
  <si>
    <t>Atlassian</t>
  </si>
  <si>
    <t>Enterprise Collaboration Software</t>
  </si>
  <si>
    <t>24.00 - 35.00</t>
  </si>
  <si>
    <t>Uber</t>
  </si>
  <si>
    <t>Mobility &amp; Marketplace Optimization</t>
  </si>
  <si>
    <t>22.00 - 32.00</t>
  </si>
  <si>
    <t>Snowflake</t>
  </si>
  <si>
    <t>Data Cloud &amp; Enterprise Warehousing</t>
  </si>
  <si>
    <t>Databricks</t>
  </si>
  <si>
    <t>Lakehouse &amp; Unified Analytics</t>
  </si>
  <si>
    <t>22.00 - 33.00</t>
  </si>
  <si>
    <t>Microsoft</t>
  </si>
  <si>
    <t>Enterprise Cloud, Productivity &amp; AI</t>
  </si>
  <si>
    <t>20.00 - 30.00</t>
  </si>
  <si>
    <t>Amazon India</t>
  </si>
  <si>
    <t>E-Commerce, AWS &amp; Logistics Analytics</t>
  </si>
  <si>
    <t>20.00 - 28.00</t>
  </si>
  <si>
    <t>Apple India</t>
  </si>
  <si>
    <t>Consumer Tech, Hardware &amp; Services</t>
  </si>
  <si>
    <t>LinkedIn</t>
  </si>
  <si>
    <t>Professional Network &amp; Talent Intelligence</t>
  </si>
  <si>
    <t>19.00 - 28.00</t>
  </si>
  <si>
    <t>Intuit</t>
  </si>
  <si>
    <t>Financial Platforms &amp; Small Business SaaS</t>
  </si>
  <si>
    <t>18.00 - 27.00</t>
  </si>
  <si>
    <t>Coinbase</t>
  </si>
  <si>
    <t>Crypto Economy &amp; Blockchain Data</t>
  </si>
  <si>
    <t>18.00 - 28.00</t>
  </si>
  <si>
    <t>Adobe</t>
  </si>
  <si>
    <t>Creative Cloud &amp; Digital Experience</t>
  </si>
  <si>
    <t>18.00 - 26.00</t>
  </si>
  <si>
    <t>CRED</t>
  </si>
  <si>
    <t>Fintech / Credit &amp; Rewards Platform</t>
  </si>
  <si>
    <t>16.00 - 25.00</t>
  </si>
  <si>
    <t>PhonePe</t>
  </si>
  <si>
    <t>Digital Payments &amp; Merchant Infrastructure</t>
  </si>
  <si>
    <t>16.00 - 24.00</t>
  </si>
  <si>
    <t>Razorpay</t>
  </si>
  <si>
    <t>Payment Gateway &amp; Financial Tech</t>
  </si>
  <si>
    <t>Swiggy</t>
  </si>
  <si>
    <t>Quick Commerce &amp; Food Delivery Analytics</t>
  </si>
  <si>
    <t>15.00 - 23.00</t>
  </si>
  <si>
    <t>Flipkart</t>
  </si>
  <si>
    <t>E-Commerce &amp; Supply Chain Analytics</t>
  </si>
  <si>
    <t>Zepto</t>
  </si>
  <si>
    <t>Instant Grocery &amp; Dark Store Analytics</t>
  </si>
  <si>
    <t>15.00 - 22.00</t>
  </si>
  <si>
    <t>Zomato / Blinkit</t>
  </si>
  <si>
    <t>Food Tech &amp; Quick Commerce Hyperlocal</t>
  </si>
  <si>
    <t>Salesforce</t>
  </si>
  <si>
    <t>Enterprise CRM &amp; Cloud Intelligence</t>
  </si>
  <si>
    <t>ServiceNow</t>
  </si>
  <si>
    <t>Enterprise Digital Workflow Platform</t>
  </si>
  <si>
    <t>Palo Alto Networks</t>
  </si>
  <si>
    <t>Cybersecurity &amp; Threat Telemetry</t>
  </si>
  <si>
    <t>15.00 - 21.00</t>
  </si>
  <si>
    <t>Cisco Systems</t>
  </si>
  <si>
    <t>Networking &amp; Cloud Telemetry Data</t>
  </si>
  <si>
    <t>14.50 - 21.00</t>
  </si>
  <si>
    <t>Goldman Sachs</t>
  </si>
  <si>
    <t>Investment Banking Global Technology Center</t>
  </si>
  <si>
    <t>14.00 - 22.00</t>
  </si>
  <si>
    <t>Morgan Stanley</t>
  </si>
  <si>
    <t>Institutional Equities &amp; Wealth BI Hub</t>
  </si>
  <si>
    <t>14.00 - 21.00</t>
  </si>
  <si>
    <t>J.P. Morgan Chase</t>
  </si>
  <si>
    <t>Commercial &amp; Investment Banking Data Hub</t>
  </si>
  <si>
    <t>13.50 - 20.00</t>
  </si>
  <si>
    <t>Barclays</t>
  </si>
  <si>
    <t>Global Retail &amp; Investment Bank GCC</t>
  </si>
  <si>
    <t>13.00 - 19.50</t>
  </si>
  <si>
    <t>American Express</t>
  </si>
  <si>
    <t>Risk Decision Science &amp; Card Analytics</t>
  </si>
  <si>
    <t>13.00 - 19.00</t>
  </si>
  <si>
    <t>PayPal India</t>
  </si>
  <si>
    <t>Cross-Border Payments &amp; Risk Modeling</t>
  </si>
  <si>
    <t>Meesho</t>
  </si>
  <si>
    <t>Social Commerce &amp; Marketplace Analytics</t>
  </si>
  <si>
    <t>12.50 - 19.00</t>
  </si>
  <si>
    <t>Urban Company</t>
  </si>
  <si>
    <t>Home Services &amp; Dynamic Dispatch Tech</t>
  </si>
  <si>
    <t>12.50 - 18.50</t>
  </si>
  <si>
    <t>Groww</t>
  </si>
  <si>
    <t>Investment Platform &amp; Wealth Analytics</t>
  </si>
  <si>
    <t>Zerodha</t>
  </si>
  <si>
    <t>Discount Broking &amp; Market Infrastructure</t>
  </si>
  <si>
    <t>12.00 - 18.00</t>
  </si>
  <si>
    <t>Ola / Ola Electric</t>
  </si>
  <si>
    <t>EV Telemetry &amp; Ride-Hailing Analytics</t>
  </si>
  <si>
    <t>MakeMyTrip / Goibibo</t>
  </si>
  <si>
    <t>Travel Tech, Pricing &amp; Inventory BI</t>
  </si>
  <si>
    <t>Nykaa</t>
  </si>
  <si>
    <t>Beauty &amp; Fashion E-Commerce Consumer Data</t>
  </si>
  <si>
    <t>11.50 - 17.50</t>
  </si>
  <si>
    <t>Dream11</t>
  </si>
  <si>
    <t>Sports Tech &amp; Real-time Gamification Data</t>
  </si>
  <si>
    <t>BrowserStack</t>
  </si>
  <si>
    <t>Cloud Web Testing &amp; Infrastructure BI</t>
  </si>
  <si>
    <t>12.00 - 17.50</t>
  </si>
  <si>
    <t>Postman</t>
  </si>
  <si>
    <t>API Platform &amp; Developer Telemetry</t>
  </si>
  <si>
    <t>Freshworks</t>
  </si>
  <si>
    <t>Customer Engagement &amp; ITSM SaaS Analytics</t>
  </si>
  <si>
    <t>11.50 - 17.00</t>
  </si>
  <si>
    <t>InMobi / Glance</t>
  </si>
  <si>
    <t>AdTech &amp; Lock-Screen Content Intelligence</t>
  </si>
  <si>
    <t>Paytm (One97)</t>
  </si>
  <si>
    <t>Fintech, Soundbox &amp; Merchant Analytics</t>
  </si>
  <si>
    <t>11.00 - 16.50</t>
  </si>
  <si>
    <t>Policybazaar</t>
  </si>
  <si>
    <t>Insurance Marketplace &amp; Risk Conversion</t>
  </si>
  <si>
    <t>Delhivery</t>
  </si>
  <si>
    <t>Express Parcel &amp; Network Logistics Analytics</t>
  </si>
  <si>
    <t>Cars24</t>
  </si>
  <si>
    <t>Automotive Marketplace &amp; Pricing Engines</t>
  </si>
  <si>
    <t>Spinny</t>
  </si>
  <si>
    <t>Used Car Platform &amp; Asset Quality Data</t>
  </si>
  <si>
    <t>10.50 - 16.00</t>
  </si>
  <si>
    <t>BlackRock</t>
  </si>
  <si>
    <t>Aladdin Risk System &amp; Asset Management</t>
  </si>
  <si>
    <t>State Street</t>
  </si>
  <si>
    <t>Global Custody &amp; Investment Servicing Data</t>
  </si>
  <si>
    <t>Citi India (CTI / Markets)</t>
  </si>
  <si>
    <t>Institutional Banking &amp; Risk Telemetry</t>
  </si>
  <si>
    <t>HSBC India</t>
  </si>
  <si>
    <t>Commercial Banking &amp; Fraud Intelligence</t>
  </si>
  <si>
    <t>Standard Chartered (GBS)</t>
  </si>
  <si>
    <t>Cross-Border Financial Telemetry &amp; BI</t>
  </si>
  <si>
    <t>10.50 - 15.50</t>
  </si>
  <si>
    <t>Deutsche Bank India (DWS)</t>
  </si>
  <si>
    <t>Global Markets &amp; Corporate Bank Data</t>
  </si>
  <si>
    <t>UBS India</t>
  </si>
  <si>
    <t>Wealth Management &amp; Investment Analytics</t>
  </si>
  <si>
    <t>BNP Paribas India</t>
  </si>
  <si>
    <t>Securities Services &amp; Trade BI Hub</t>
  </si>
  <si>
    <t>10.00 - 15.00</t>
  </si>
  <si>
    <t>Wells Fargo India</t>
  </si>
  <si>
    <t>Wholesale Banking &amp; Consumer Lending BI</t>
  </si>
  <si>
    <t>Bank of America (BA Continuum)</t>
  </si>
  <si>
    <t>Global Technology &amp; Global Operations</t>
  </si>
  <si>
    <t>Mastercard India</t>
  </si>
  <si>
    <t>Payment Rail Telemetry &amp; Cyber Intelligence</t>
  </si>
  <si>
    <t>Visa India</t>
  </si>
  <si>
    <t>Transactional Settlement &amp; Risk Analytics</t>
  </si>
  <si>
    <t>Fidelity Investments</t>
  </si>
  <si>
    <t>Personal Investing &amp; Retirement Analytics</t>
  </si>
  <si>
    <t>Target India GCC</t>
  </si>
  <si>
    <t>Omnichannel Retail &amp; Supply Chain BI</t>
  </si>
  <si>
    <t>Walmart Global Tech India</t>
  </si>
  <si>
    <t>Retail Supply Chain &amp; Merchandising Data</t>
  </si>
  <si>
    <t>Tesco Bengaluru</t>
  </si>
  <si>
    <t>Hypermarket Inventory &amp; Clubcard Analytics</t>
  </si>
  <si>
    <t>The Home Depot GCC</t>
  </si>
  <si>
    <t>Home Improvement Retail Logistics Data</t>
  </si>
  <si>
    <t>Lowe's India</t>
  </si>
  <si>
    <t>Retail Omni-Commerce Data &amp; Customer BI</t>
  </si>
  <si>
    <t>Amazon Web Services (AWS)</t>
  </si>
  <si>
    <t>Cloud Usage Telemetry &amp; Billing BI</t>
  </si>
  <si>
    <t>Oracle India (OCI Analytics)</t>
  </si>
  <si>
    <t>Database Cloud &amp; ERP Platform BI</t>
  </si>
  <si>
    <t>SAP Labs India</t>
  </si>
  <si>
    <t>Enterprise ERP Telemetry &amp; Analytics Cloud</t>
  </si>
  <si>
    <t>VMware (Broadcom)</t>
  </si>
  <si>
    <t>Virtualization Infrastructure &amp; Cloud Ops</t>
  </si>
  <si>
    <t>Dell Technologies India</t>
  </si>
  <si>
    <t>Enterprise Storage, Client Solutions BI</t>
  </si>
  <si>
    <t>10.00 - 14.80</t>
  </si>
  <si>
    <t>Hewlett Packard Enterprise (HPE)</t>
  </si>
  <si>
    <t>Edge-to-Cloud Telemetry &amp; GreenLake</t>
  </si>
  <si>
    <t>Intel India</t>
  </si>
  <si>
    <t>Semiconductor Yield &amp; Supply Chain Data</t>
  </si>
  <si>
    <t>Qualcomm India</t>
  </si>
  <si>
    <t>Wireless Chipset Telemetry &amp; Modem BI</t>
  </si>
  <si>
    <t>NVIDIA India</t>
  </si>
  <si>
    <t>AI Infrastructure &amp; Accelerated Compute BI</t>
  </si>
  <si>
    <t>13.00 - 20.00</t>
  </si>
  <si>
    <t>Texas Instruments India</t>
  </si>
  <si>
    <t>Analog Chip Manufacturing Analytics</t>
  </si>
  <si>
    <t>Applied Materials India</t>
  </si>
  <si>
    <t>Semiconductor Fabrication Equipment Data</t>
  </si>
  <si>
    <t>9.50 - 14.50</t>
  </si>
  <si>
    <t>ASML India</t>
  </si>
  <si>
    <t>Photolithography Machine Telemetry Hub</t>
  </si>
  <si>
    <t>Synopsys India</t>
  </si>
  <si>
    <t>Electronic Design Automation (EDA) Data</t>
  </si>
  <si>
    <t>9.50 - 14.20</t>
  </si>
  <si>
    <t>Cadence Design Systems</t>
  </si>
  <si>
    <t>Computational Software &amp; IC Analytics</t>
  </si>
  <si>
    <t>Fractal Analytics</t>
  </si>
  <si>
    <t>Pure-Play AI, Consumer &amp; Healthcare BI</t>
  </si>
  <si>
    <t>9.00 - 14.00</t>
  </si>
  <si>
    <t>Mu Sigma</t>
  </si>
  <si>
    <t>Decision Sciences &amp; Big Data Analytics</t>
  </si>
  <si>
    <t>8.50 - 13.00</t>
  </si>
  <si>
    <t>Tiger Analytics</t>
  </si>
  <si>
    <t>Advanced Analytics &amp; ML Engineering</t>
  </si>
  <si>
    <t>LatentView Analytics</t>
  </si>
  <si>
    <t>Digital Transformation &amp; Predictive Data</t>
  </si>
  <si>
    <t>8.50 - 13.20</t>
  </si>
  <si>
    <t>Absolutdata (Infogain)</t>
  </si>
  <si>
    <t>Marketing Analytics &amp; Decision AI</t>
  </si>
  <si>
    <t>ZS Associates</t>
  </si>
  <si>
    <t>Pharma Sales, Commercial &amp; Pipeline BI</t>
  </si>
  <si>
    <t>EXL Service (Analytics Center)</t>
  </si>
  <si>
    <t>Insurance Risk &amp; Operations Decision Tech</t>
  </si>
  <si>
    <t>Genpact (Cora Analytics)</t>
  </si>
  <si>
    <t>Commercial Risk, Financial BI &amp; Supply</t>
  </si>
  <si>
    <t>8.20 - 12.80</t>
  </si>
  <si>
    <t>WNS Global (Triange Analytics)</t>
  </si>
  <si>
    <t>Travel, Healthcare &amp; Procurement BI</t>
  </si>
  <si>
    <t>eClerx Services</t>
  </si>
  <si>
    <t>Financial Markets &amp; Digital Marketing Data</t>
  </si>
  <si>
    <t>8.00 - 12.50</t>
  </si>
  <si>
    <t>Affine Analytics</t>
  </si>
  <si>
    <t>Gaming, Manufacturing &amp; Cloud BI</t>
  </si>
  <si>
    <t>Gramener</t>
  </si>
  <si>
    <t>Data Visualization &amp; Storytelling Hub</t>
  </si>
  <si>
    <t>8.00 - 12.20</t>
  </si>
  <si>
    <t>TheMathCompany</t>
  </si>
  <si>
    <t>Custom AI Platforms &amp; Enterprise BI</t>
  </si>
  <si>
    <t>9.00 - 13.80</t>
  </si>
  <si>
    <t>Tredence</t>
  </si>
  <si>
    <t>Last-Mile Analytics &amp; Retail Execution Data</t>
  </si>
  <si>
    <t>Axtria</t>
  </si>
  <si>
    <t>Life Sciences Cloud &amp; Commercial Data</t>
  </si>
  <si>
    <t>Blue Yonder India</t>
  </si>
  <si>
    <t>Supply Chain Optimization Software Data</t>
  </si>
  <si>
    <t>Manhattan Associates India</t>
  </si>
  <si>
    <t>Warehouse &amp; Omnichannel Supply Tech</t>
  </si>
  <si>
    <t>FactSet India</t>
  </si>
  <si>
    <t>Financial Data Feeds &amp; Investment Portals</t>
  </si>
  <si>
    <t>9.00 - 13.50</t>
  </si>
  <si>
    <t>S&amp;P Global India</t>
  </si>
  <si>
    <t>Credit Ratings, Commodity &amp; Capital IQ</t>
  </si>
  <si>
    <t>Moody's Analytics India</t>
  </si>
  <si>
    <t>Credit Risk &amp; Macroeconomic Telemetry</t>
  </si>
  <si>
    <t>Morningstar India</t>
  </si>
  <si>
    <t>Fund Analytics &amp; Equity Research Hub</t>
  </si>
  <si>
    <t>MSCI India</t>
  </si>
  <si>
    <t>Index Calculation, ESG &amp; Portfolio Analytics</t>
  </si>
  <si>
    <t>Crisil (S&amp;P Company)</t>
  </si>
  <si>
    <t>Risk Ratings &amp; Research Analytics</t>
  </si>
  <si>
    <t>CareEdge Ratings</t>
  </si>
  <si>
    <t>Credit Assessment &amp; Industrial Analytics</t>
  </si>
  <si>
    <t>8.00 - 12.00</t>
  </si>
  <si>
    <t>ICRA Limited</t>
  </si>
  <si>
    <t>Credit Ratings &amp; Macro Indicators</t>
  </si>
  <si>
    <t>Dun &amp; Bradstreet India</t>
  </si>
  <si>
    <t>Commercial Data &amp; Business Insights</t>
  </si>
  <si>
    <t>8.50 - 12.80</t>
  </si>
  <si>
    <t>Experian India</t>
  </si>
  <si>
    <t>Credit Bureau &amp; Decision Analytics</t>
  </si>
  <si>
    <t>TransUnion CIBIL</t>
  </si>
  <si>
    <t>Credit Bureau Scoring &amp; Banking Analytics</t>
  </si>
  <si>
    <t>Equifax India</t>
  </si>
  <si>
    <t>Consumer Credit Risk &amp; Portfolio Telemetry</t>
  </si>
  <si>
    <t>CRIF High Mark</t>
  </si>
  <si>
    <t>Microfinance &amp; Retail Credit Intelligence</t>
  </si>
  <si>
    <t>FICO India</t>
  </si>
  <si>
    <t>Scores &amp; Enterprise Decision Automation</t>
  </si>
  <si>
    <t>McKinsey Knowledge Centre</t>
  </si>
  <si>
    <t>Strategic Insights &amp; Client BI Modeling</t>
  </si>
  <si>
    <t>Boston Consulting Group (BCG)</t>
  </si>
  <si>
    <t>BCG GAMMA &amp; Strategic Analytics Hub</t>
  </si>
  <si>
    <t>Bain &amp; Company (Bain Capability)</t>
  </si>
  <si>
    <t>BCC Private Equity &amp; Consumer BI</t>
  </si>
  <si>
    <t>Oliver Wyman India Hub</t>
  </si>
  <si>
    <t>Financial Services &amp; Risk Modeling</t>
  </si>
  <si>
    <t>Kearney India Hub</t>
  </si>
  <si>
    <t>Procurement &amp; Supply Chain Strategy BI</t>
  </si>
  <si>
    <t>Roland Berger Hub</t>
  </si>
  <si>
    <t>Automotive &amp; Industrial Strategy Data</t>
  </si>
  <si>
    <t>Strategy&amp; (PwC Network)</t>
  </si>
  <si>
    <t>Corporate Strategy &amp; Deals Analytics</t>
  </si>
  <si>
    <t>EY GDS (Data &amp; Analytics)</t>
  </si>
  <si>
    <t>Enterprise Assurance &amp; Advisory Data</t>
  </si>
  <si>
    <t>PwC Acceleration Centers (AC)</t>
  </si>
  <si>
    <t>Global Advisory &amp; Tax Automation Data</t>
  </si>
  <si>
    <t>Deloitte USI (Analytics Hub)</t>
  </si>
  <si>
    <t>Enterprise Risk, Strategy &amp; AI Solutions</t>
  </si>
  <si>
    <t>8.80 - 13.50</t>
  </si>
  <si>
    <t>KPMG Global Services (KGS)</t>
  </si>
  <si>
    <t>Deal Advisory &amp; Global Audit Analytics</t>
  </si>
  <si>
    <t>Grant Thornton India</t>
  </si>
  <si>
    <t>Risk Advisory, Valuations &amp; Forensics</t>
  </si>
  <si>
    <t>BDO India Hub</t>
  </si>
  <si>
    <t>Tax Advisory &amp; Business Consulting BI</t>
  </si>
  <si>
    <t>7.80 - 11.80</t>
  </si>
  <si>
    <t>Protiviti India</t>
  </si>
  <si>
    <t>Internal Audit, SOX &amp; Enterprise Risk BI</t>
  </si>
  <si>
    <t>Alvarez &amp; Marsal India</t>
  </si>
  <si>
    <t>Restructuring, Turnaround &amp; Corporate BI</t>
  </si>
  <si>
    <t>Accenture Solutions (Data Track)</t>
  </si>
  <si>
    <t>Global Technology &amp; Consulting Delivery</t>
  </si>
  <si>
    <t>7.50 - 11.50</t>
  </si>
  <si>
    <t>TCS (Digital Lateral Track)</t>
  </si>
  <si>
    <t>Enterprise Systems, Cloud BI &amp; Banking</t>
  </si>
  <si>
    <t>7.00 - 10.50</t>
  </si>
  <si>
    <t>Infosys (Specialist Programmer/BI)</t>
  </si>
  <si>
    <t>Enterprise Systems &amp; Analytics Practice</t>
  </si>
  <si>
    <t>Wipro (Digital / Analytics)</t>
  </si>
  <si>
    <t>IT Infrastructure, Enterprise BI Delivery</t>
  </si>
  <si>
    <t>6.80 - 10.20</t>
  </si>
  <si>
    <t>Cognizant (GenC Next Lateral)</t>
  </si>
  <si>
    <t>Healthcare, Life Sciences &amp; BFSI Solutions</t>
  </si>
  <si>
    <t>HCLTech (Digital Analytics)</t>
  </si>
  <si>
    <t>Engineering &amp; R&amp;D Services BI Practice</t>
  </si>
  <si>
    <t>6.80 - 10.00</t>
  </si>
  <si>
    <t>Tech Mahindra (Digital)</t>
  </si>
  <si>
    <t>Telecom, Cloud &amp; 5G Network Telemetry</t>
  </si>
  <si>
    <t>6.50 - 9.80</t>
  </si>
  <si>
    <t>Capgemini India (Digital)</t>
  </si>
  <si>
    <t>Cloud Infrastructure &amp; Financial Services</t>
  </si>
  <si>
    <t>LTIMindtree (Analytics Core)</t>
  </si>
  <si>
    <t>Enterprise Cloud Transformation &amp; BI</t>
  </si>
  <si>
    <t>Tata Elxsi (Analytics Hub)</t>
  </si>
  <si>
    <t>Automotive Connected Vehicles &amp; Media BI</t>
  </si>
  <si>
    <t>7.20 - 10.80</t>
  </si>
  <si>
    <t>Persistent Systems</t>
  </si>
  <si>
    <t>Product Engineering &amp; Cloud Platform Data</t>
  </si>
  <si>
    <t>7.50 - 11.20</t>
  </si>
  <si>
    <t>Birlasoft</t>
  </si>
  <si>
    <t>Manufacturing &amp; Cloud Application BI</t>
  </si>
  <si>
    <t>Cyient</t>
  </si>
  <si>
    <t>Geospatial Data &amp; Industrial Engineering</t>
  </si>
  <si>
    <t>Hexaware Technologies</t>
  </si>
  <si>
    <t>Automation, Cloud &amp; Banking Data Practice</t>
  </si>
  <si>
    <t>Zensar Technologies</t>
  </si>
  <si>
    <t>Hi-Tech &amp; Digital Commerce Analytics</t>
  </si>
  <si>
    <t>Mphasis</t>
  </si>
  <si>
    <t>Core Banking Modernization &amp; Insurance BI</t>
  </si>
  <si>
    <t>Sonata Software</t>
  </si>
  <si>
    <t>Platformation &amp; Travel Tech Data Analytics</t>
  </si>
  <si>
    <t>KPIT Technologies</t>
  </si>
  <si>
    <t>Clean Mobility &amp; Autonomous Driving Data</t>
  </si>
  <si>
    <t>Coforge (NIIT Tech)</t>
  </si>
  <si>
    <t>Aviation &amp; Travel Enterprise Reporting</t>
  </si>
  <si>
    <t>ITC Infotech</t>
  </si>
  <si>
    <t>CPG, Supply Chain &amp; Hospitality Analytics</t>
  </si>
  <si>
    <t>Firstsource Solutions</t>
  </si>
  <si>
    <t>Healthcare Payer &amp; Retail Banking Data</t>
  </si>
  <si>
    <t>6.20 - 9.20</t>
  </si>
  <si>
    <t>Sutherland Global</t>
  </si>
  <si>
    <t>Customer Lifecycle Operations &amp; CX Data</t>
  </si>
  <si>
    <t>6.00 - 9.00</t>
  </si>
  <si>
    <t>Virtusa</t>
  </si>
  <si>
    <t>Fintech Engineering &amp; Digital Solutions</t>
  </si>
  <si>
    <t>Mindgate Solutions</t>
  </si>
  <si>
    <t>UPI Switching &amp; Digital Transaction Data</t>
  </si>
  <si>
    <t>6.50 - 9.50</t>
  </si>
  <si>
    <t>Fiserv India GCC</t>
  </si>
  <si>
    <t>Merchant Acquirer &amp; Payment Terminal BI</t>
  </si>
  <si>
    <t>FIS Global India</t>
  </si>
  <si>
    <t>Core Banking Switch &amp; Wealth Management</t>
  </si>
  <si>
    <t>Worldline India</t>
  </si>
  <si>
    <t>POS Terminal Telemetry &amp; Merchant BI</t>
  </si>
  <si>
    <t>Hitachi Payment Services</t>
  </si>
  <si>
    <t>ATM Network Operations &amp; Cash Flow Data</t>
  </si>
  <si>
    <t>Pine Labs</t>
  </si>
  <si>
    <t>Fintech POS Merchant Loyalty &amp; Risk Data</t>
  </si>
  <si>
    <t>BharatPe</t>
  </si>
  <si>
    <t>Merchant QR Lending &amp; Settlement Data</t>
  </si>
  <si>
    <t>CRED (Garage/Operations)</t>
  </si>
  <si>
    <t>Vehicle Management &amp; Insurance Engine</t>
  </si>
  <si>
    <t>OneCard (FPL Tech)</t>
  </si>
  <si>
    <t>Mobile-First Credit Card Telemetry &amp; Risk</t>
  </si>
  <si>
    <t>Uni Cards</t>
  </si>
  <si>
    <t>Pay-Later &amp; Co-branded Card Analytics</t>
  </si>
  <si>
    <t>Slice (Garage Preneurs)</t>
  </si>
  <si>
    <t>Consumer Credit &amp; Banking Operations Tech</t>
  </si>
  <si>
    <t>Jupiter Money</t>
  </si>
  <si>
    <t>Neobank Digital Banking &amp; User Journey BI</t>
  </si>
  <si>
    <t>Fi Money (epiFi)</t>
  </si>
  <si>
    <t>Smart Neo-Banking &amp; Personal Finance BI</t>
  </si>
  <si>
    <t>Navi Technologies</t>
  </si>
  <si>
    <t>Digital Personal Loans, Home Loans &amp; UPI</t>
  </si>
  <si>
    <t>KreditBee</t>
  </si>
  <si>
    <t>Fintech Underwriting &amp; Direct Lending Data</t>
  </si>
  <si>
    <t>Money View</t>
  </si>
  <si>
    <t>Financial Inclusion &amp; Algorithm Underwrite</t>
  </si>
  <si>
    <t>CASHe</t>
  </si>
  <si>
    <t>Social Loan Quotient &amp; AI Credit BI</t>
  </si>
  <si>
    <t>EarlySalary (Fibe)</t>
  </si>
  <si>
    <t>Salaried Credit &amp; Digital EMI Platform</t>
  </si>
  <si>
    <t>Kissht (Ring)</t>
  </si>
  <si>
    <t>Merchant QR Credit &amp; Micro-Lending Data</t>
  </si>
  <si>
    <t>Indiabulls Consumer Finance</t>
  </si>
  <si>
    <t>NBFC Retail Lending &amp; Collection Data</t>
  </si>
  <si>
    <t>Bajaj Finance Limited</t>
  </si>
  <si>
    <t>Consumer Durable Finance &amp; Risk Analytics</t>
  </si>
  <si>
    <t>Unacademy</t>
  </si>
  <si>
    <t>EdTech Learner Funnel &amp; Live Classroom BI</t>
  </si>
  <si>
    <t>7.00 - 11.00</t>
  </si>
  <si>
    <t>upGrad</t>
  </si>
  <si>
    <t>Higher Ed &amp; Career Upskilling Platform Data</t>
  </si>
  <si>
    <t>7.00 - 10.80</t>
  </si>
  <si>
    <t>Eruditus / Emeritus</t>
  </si>
  <si>
    <t>Executive Education &amp; Global Univ Analytics</t>
  </si>
  <si>
    <t>PhysicsWallah (PW)</t>
  </si>
  <si>
    <t>EdTech Learning Operations, Test &amp; Batch BI</t>
  </si>
  <si>
    <t>5.50 - 9.00</t>
  </si>
  <si>
    <t>Adda247</t>
  </si>
  <si>
    <t>Government Exam Prep &amp; Regional Learner BI</t>
  </si>
  <si>
    <t>5.50 - 8.50</t>
  </si>
  <si>
    <t>Vedantu</t>
  </si>
  <si>
    <t>Live Interactive Tutoring &amp; Session Data</t>
  </si>
  <si>
    <t>6.50 - 10.00</t>
  </si>
  <si>
    <t>Classplus</t>
  </si>
  <si>
    <t>Creator Economy &amp; Educator App Analytics</t>
  </si>
  <si>
    <t>Cuemath</t>
  </si>
  <si>
    <t>Math Learning &amp; Student Performance Data</t>
  </si>
  <si>
    <t>Lead School</t>
  </si>
  <si>
    <t>School EdTech Transformation &amp; Curriculum</t>
  </si>
  <si>
    <t>Simplilearn</t>
  </si>
  <si>
    <t>Professional Certification &amp; Learner Ops</t>
  </si>
  <si>
    <t>Great Learning</t>
  </si>
  <si>
    <t>Blended Learning &amp; Enterprise Upskilling</t>
  </si>
  <si>
    <t>Scaler (InterviewBit)</t>
  </si>
  <si>
    <t>Tech Education &amp; Placement Analytics</t>
  </si>
  <si>
    <t>Masai School</t>
  </si>
  <si>
    <t>Income Sharing &amp; Outcome-Driven Learning</t>
  </si>
  <si>
    <t>GeeksforGeeks</t>
  </si>
  <si>
    <t>Tech Portal &amp; Student Engagement Insights</t>
  </si>
  <si>
    <t>6.00 - 9.20</t>
  </si>
  <si>
    <t>Tutort Academy</t>
  </si>
  <si>
    <t>Data Science &amp; AI Upskilling Operations</t>
  </si>
  <si>
    <t>Board Infinity</t>
  </si>
  <si>
    <t>Career Coaching &amp; College Student Data</t>
  </si>
  <si>
    <t>5.50 - 8.20</t>
  </si>
  <si>
    <t>Internshala</t>
  </si>
  <si>
    <t>Student Internship &amp; Training Marketplace</t>
  </si>
  <si>
    <t>Naukri (Info Edge)</t>
  </si>
  <si>
    <t>Recruitment Portal Telemetry &amp; Employer BI</t>
  </si>
  <si>
    <t>Foundit (Monster APAC)</t>
  </si>
  <si>
    <t>Talent Intelligence &amp; Job Aggregator Data</t>
  </si>
  <si>
    <t>Shine.com (HT Media)</t>
  </si>
  <si>
    <t>Job Portal &amp; Candidate Discovery Analytics</t>
  </si>
  <si>
    <t>TimesJobs (Times Group)</t>
  </si>
  <si>
    <t>Recruitment Marketplace &amp; Corporate Leads</t>
  </si>
  <si>
    <t>5.80 - 8.80</t>
  </si>
  <si>
    <t>HDFC Bank BIU</t>
  </si>
  <si>
    <t>Banking Business Intelligence Unit</t>
  </si>
  <si>
    <t>ICICI Bank BIU</t>
  </si>
  <si>
    <t>Digital Banking, Cards &amp; Asset BI Hub</t>
  </si>
  <si>
    <t>Axis Bank Analytics</t>
  </si>
  <si>
    <t>Retail Lending, Wealth &amp; Fraud Analytics</t>
  </si>
  <si>
    <t>Kotak Mahindra Bank</t>
  </si>
  <si>
    <t>Consumer Assets &amp; Digital Banking BI</t>
  </si>
  <si>
    <t>IndusInd Bank Analytics</t>
  </si>
  <si>
    <t>Commercial Vehicles &amp; Consumer Banking BI</t>
  </si>
  <si>
    <t>Yes Bank BIU</t>
  </si>
  <si>
    <t>Corporate Banking &amp; Retail Portfolio BI</t>
  </si>
  <si>
    <t>IDFC FIRST Bank</t>
  </si>
  <si>
    <t>Digital Lending &amp; CASA Growth Analytics</t>
  </si>
  <si>
    <t>Federal Bank</t>
  </si>
  <si>
    <t>Retail Remittance &amp; NRI Banking Data</t>
  </si>
  <si>
    <t>RBL Bank</t>
  </si>
  <si>
    <t>Credit Cards &amp; Microfinance BI Unit</t>
  </si>
  <si>
    <t>Bandhan Bank</t>
  </si>
  <si>
    <t>Micro-Banking &amp; Priority Sector Analytics</t>
  </si>
  <si>
    <t>AU Small Finance Bank</t>
  </si>
  <si>
    <t>Semi-Urban Asset Quality &amp; Branch BI</t>
  </si>
  <si>
    <t>Equitas Small Finance Bank</t>
  </si>
  <si>
    <t>Vehicle Finance &amp; Micro-Lending Data</t>
  </si>
  <si>
    <t>Ujjivan Small Finance Bank</t>
  </si>
  <si>
    <t>Financial Inclusion &amp; Repayment Analytics</t>
  </si>
  <si>
    <t>State Bank of India (Analytics Hub)</t>
  </si>
  <si>
    <t>Public Sector Banking &amp; YONO Analytics</t>
  </si>
  <si>
    <t>Bank of Baroda (Analytics CoE)</t>
  </si>
  <si>
    <t>Public Sector Retail &amp; Corporate BI</t>
  </si>
  <si>
    <t>Punjab National Bank (MIS CoE)</t>
  </si>
  <si>
    <t>Digital Banking &amp; Agro-Lending Telemetry</t>
  </si>
  <si>
    <t>5.80 - 8.60</t>
  </si>
  <si>
    <t>Canara Bank Analytics</t>
  </si>
  <si>
    <t>Branch Operations &amp; Asset Quality MIS</t>
  </si>
  <si>
    <t>Union Bank of India</t>
  </si>
  <si>
    <t>Digital Credit Appraisal &amp; Portfolio BI</t>
  </si>
  <si>
    <t>Indian Bank Analytics</t>
  </si>
  <si>
    <t>Financial Tracking &amp; Retail Banking BI</t>
  </si>
  <si>
    <t>5.60 - 8.40</t>
  </si>
  <si>
    <t>Bank of India (BOI BI)</t>
  </si>
  <si>
    <t>National Priority Sector Portfolio Data</t>
  </si>
  <si>
    <t>Tata Capital</t>
  </si>
  <si>
    <t>Consumer Loans &amp; Corporate Advisory Data</t>
  </si>
  <si>
    <t>Aditya Birla Capital</t>
  </si>
  <si>
    <t>Mutual Funds, Insurance &amp; Lending Data</t>
  </si>
  <si>
    <t>L&amp;T Finance Holdings</t>
  </si>
  <si>
    <t>Rural Lending, Two-Wheeler &amp; Farm Data</t>
  </si>
  <si>
    <t>Piramal Capital &amp; Housing</t>
  </si>
  <si>
    <t>Affordable Housing &amp; Wholesale Lending</t>
  </si>
  <si>
    <t>Cholamandalam Investment</t>
  </si>
  <si>
    <t>Vehicle Finance &amp; Loan Portfolio Telemetry</t>
  </si>
  <si>
    <t>Shriram Finance</t>
  </si>
  <si>
    <t>Commercial Vehicle &amp; MSME Credit Data</t>
  </si>
  <si>
    <t>Muthoot Finance</t>
  </si>
  <si>
    <t>Gold Loan Operations &amp; Branch Yield Data</t>
  </si>
  <si>
    <t>Manappuram Finance</t>
  </si>
  <si>
    <t>Micro-Credit &amp; Secured Asset Portfolio BI</t>
  </si>
  <si>
    <t>Sundaram Finance</t>
  </si>
  <si>
    <t>Commercial Equipment &amp; Vehicle Portfolio</t>
  </si>
  <si>
    <t>Mahindra Finance</t>
  </si>
  <si>
    <t>Rural Tractor, Vehicle Financing &amp; NBFC BI</t>
  </si>
  <si>
    <t>HDFC Life Insurance</t>
  </si>
  <si>
    <t>Actuarial Data, Policy Persistency &amp; Claims</t>
  </si>
  <si>
    <t>ICICI Prudential Life</t>
  </si>
  <si>
    <t>Underwriting Automation &amp; Premium BI</t>
  </si>
  <si>
    <t>SBI Life Insurance</t>
  </si>
  <si>
    <t>Bancassurance Channel &amp; Persistency Data</t>
  </si>
  <si>
    <t>Max Life Insurance</t>
  </si>
  <si>
    <t>Agent Productivity &amp; Claim Analytics</t>
  </si>
  <si>
    <t>Tata AIA Life Insurance</t>
  </si>
  <si>
    <t>Direct-to-Consumer &amp; Underwriting Analytics</t>
  </si>
  <si>
    <t>Bajaj Allianz General</t>
  </si>
  <si>
    <t>Motor &amp; Health Insurance Claim Telemetry</t>
  </si>
  <si>
    <t>ICICI Lombard General</t>
  </si>
  <si>
    <t>IoT Telematics, Motor &amp; Health Claims BI</t>
  </si>
  <si>
    <t>Star Health and Allied</t>
  </si>
  <si>
    <t>Health Claim Adjudication &amp; Hospital Data</t>
  </si>
  <si>
    <t>Care Health Insurance</t>
  </si>
  <si>
    <t>Health Network &amp; Underwriting Risk Model</t>
  </si>
  <si>
    <t>Niva Bupa Health Insurance</t>
  </si>
  <si>
    <t>Digital Claim Conversion &amp; Customer BI</t>
  </si>
  <si>
    <t>HDFC ERGO General</t>
  </si>
  <si>
    <t>Travel &amp; Motor Policy Settlement BI</t>
  </si>
  <si>
    <t>Go Digit General Insurance</t>
  </si>
  <si>
    <t>Cloud Native InsurTech &amp; Telematics Data</t>
  </si>
  <si>
    <t>Acko General Insurance</t>
  </si>
  <si>
    <t>Direct Insurtech, Auto &amp; Health Data Tech</t>
  </si>
  <si>
    <t>Kotak General Insurance (Zurich)</t>
  </si>
  <si>
    <t>General Insurance Risk Telemetry</t>
  </si>
  <si>
    <t>Reliance General Insurance</t>
  </si>
  <si>
    <t>Crop, Commercial &amp; Retail Insurance BI</t>
  </si>
  <si>
    <t>Nippon India Mutual Fund</t>
  </si>
  <si>
    <t>AUM Growth, SIP Persistency &amp; Distributor BI</t>
  </si>
  <si>
    <t>HDFC AMC</t>
  </si>
  <si>
    <t>Mutual Fund Flow Analytics &amp; Portfolio BI</t>
  </si>
  <si>
    <t>ICICI Prudential AMC</t>
  </si>
  <si>
    <t>Institutional Investment &amp; Retail Equity BI</t>
  </si>
  <si>
    <t>SBI Mutual Fund</t>
  </si>
  <si>
    <t>Asset Allocation &amp; Systematic Investment Data</t>
  </si>
  <si>
    <t>UTI Mutual Fund</t>
  </si>
  <si>
    <t>Treasury Operations &amp; Retail Fund Inflows</t>
  </si>
  <si>
    <t>Motilal Oswal Financial</t>
  </si>
  <si>
    <t>Wealth Broking &amp; Equity Research BI</t>
  </si>
  <si>
    <t>Sharekhan (Mirae Asset)</t>
  </si>
  <si>
    <t>Retail Equities &amp; Derivatives Trading Data</t>
  </si>
  <si>
    <t>Angel One</t>
  </si>
  <si>
    <t>Fintech Broking, API Trading &amp; Mobile BI</t>
  </si>
  <si>
    <t>Upstox (RKSV)</t>
  </si>
  <si>
    <t>Discount Broking Platform &amp; Active Traders</t>
  </si>
  <si>
    <t>5paisa Capital</t>
  </si>
  <si>
    <t>Algorithmic Broking &amp; Retail Active Accounts</t>
  </si>
  <si>
    <t>Dhan (Raise Financial)</t>
  </si>
  <si>
    <t>Fintech Trading Platform &amp; Order Routing BI</t>
  </si>
  <si>
    <t>Geojit Financial Services</t>
  </si>
  <si>
    <t>Distribution &amp; Financial Planning BI</t>
  </si>
  <si>
    <t>IIFL Securities</t>
  </si>
  <si>
    <t>Institutional Broking &amp; Wealth Tech Data</t>
  </si>
  <si>
    <t>JM Financial</t>
  </si>
  <si>
    <t>Investment Banking Syndication &amp; Equity BI</t>
  </si>
  <si>
    <t>Edelweiss Financial</t>
  </si>
  <si>
    <t>Alternative Assets &amp; Structured Lending BI</t>
  </si>
  <si>
    <t>Shiprocket (BigFoot)</t>
  </si>
  <si>
    <t>E-Commerce Shipping Aggregation &amp; Logistics</t>
  </si>
  <si>
    <t>Shadowfax Technologies</t>
  </si>
  <si>
    <t>Hyperlocal Delivery Fleet Routing &amp; Hub BI</t>
  </si>
  <si>
    <t>Porter (SmartShift)</t>
  </si>
  <si>
    <t>Intra-City Mini-Truck Logistics &amp; Fare BI</t>
  </si>
  <si>
    <t>BlackBuck (Zinka)</t>
  </si>
  <si>
    <t>Inter-City Trucking Freight Telematics</t>
  </si>
  <si>
    <t>Rivigo (Mahindra Logistics)</t>
  </si>
  <si>
    <t>Relay Express Freight &amp; Fleet IoT Analytics</t>
  </si>
  <si>
    <t>Ecom Express</t>
  </si>
  <si>
    <t>E-Commerce Express Logistics &amp; Hub Volume</t>
  </si>
  <si>
    <t>Xpressbees</t>
  </si>
  <si>
    <t>B2C Supply Chain &amp; Distribution Telemetry</t>
  </si>
  <si>
    <t>Blue Dart Express (DHL)</t>
  </si>
  <si>
    <t>Aviation Freight &amp; Time-Definite Courier</t>
  </si>
  <si>
    <t>Allcargo Logistics</t>
  </si>
  <si>
    <t>LCL Consolidation &amp; Container Freight Data</t>
  </si>
  <si>
    <t>TCI Express</t>
  </si>
  <si>
    <t>Multimodal Transport &amp; Cargo Express BI</t>
  </si>
  <si>
    <t>V-Trans India</t>
  </si>
  <si>
    <t>Road Cargo Infrastructure &amp; Freight Tracking</t>
  </si>
  <si>
    <t>Gati-KWE (Allcargo)</t>
  </si>
  <si>
    <t>Surface Cargo &amp; Express Distribution BI</t>
  </si>
  <si>
    <t>Safexpress</t>
  </si>
  <si>
    <t>Third-Party Logistics Warehousing &amp; Network</t>
  </si>
  <si>
    <t>Container Corp of India</t>
  </si>
  <si>
    <t>Rail Intermodal Freight &amp; Port Telemetry</t>
  </si>
  <si>
    <t>Gateway Distriparks</t>
  </si>
  <si>
    <t>Inland Container Depots &amp; Rail Logistics BI</t>
  </si>
  <si>
    <t>5.60 - 8.50</t>
  </si>
  <si>
    <t>Rebel Foods (Faasos)</t>
  </si>
  <si>
    <t>Cloud Kitchen Brand Matrix &amp; Food Waste BI</t>
  </si>
  <si>
    <t>Country Delight</t>
  </si>
  <si>
    <t>Direct Farm-to-Home Dairy &amp; Supply Predict</t>
  </si>
  <si>
    <t>Licious (Delightful Gourmet)</t>
  </si>
  <si>
    <t>Meat &amp; Seafood Cold-Chain Supply Tech</t>
  </si>
  <si>
    <t>FreshToHome</t>
  </si>
  <si>
    <t>Fisheries Cold Supply &amp; Direct Consumer Data</t>
  </si>
  <si>
    <t>Curefoods</t>
  </si>
  <si>
    <t>Cloud Kitchen Multi-Brand Kitchen Network</t>
  </si>
  <si>
    <t>EatClub Brands (Box8)</t>
  </si>
  <si>
    <t>On-Demand Food Delivery Fleet &amp; Kitchen BI</t>
  </si>
  <si>
    <t>Chai Point (Mountain Trail)</t>
  </si>
  <si>
    <t>IoT Dispenser Telemetry &amp; Retail Café BI</t>
  </si>
  <si>
    <t>Chaayos (Sunshine Teahouse)</t>
  </si>
  <si>
    <t>Customization Chai Machines &amp; POS Retail BI</t>
  </si>
  <si>
    <t>Devyani International</t>
  </si>
  <si>
    <t>KFC &amp; Pizza Hut Franchise Operations BI</t>
  </si>
  <si>
    <t>Jubilant FoodWorks</t>
  </si>
  <si>
    <t>Domino's Pizza 30-Min Delivery Telemetry</t>
  </si>
  <si>
    <t>Westlife Foodworld</t>
  </si>
  <si>
    <t>McDonald's West &amp; South Store Operations</t>
  </si>
  <si>
    <t>Sapphire Foods India</t>
  </si>
  <si>
    <t>QSR Chain Operations &amp; Store Level Unit BI</t>
  </si>
  <si>
    <t>Restaurant Brands Asia</t>
  </si>
  <si>
    <t>Burger King India Footfall &amp; POS Analytics</t>
  </si>
  <si>
    <t>Speciality Restaurants</t>
  </si>
  <si>
    <t>Fine Dining Operations &amp; Guest Feedback BI</t>
  </si>
  <si>
    <t>Barbeque Nation</t>
  </si>
  <si>
    <t>Live Grill Buffet Reservations &amp; Waste BI</t>
  </si>
  <si>
    <t>Titan Company</t>
  </si>
  <si>
    <t>Jewellery (Tanishq), Eyewear &amp; Watches BI</t>
  </si>
  <si>
    <t>Kalyan Jewellers</t>
  </si>
  <si>
    <t>Retail Jewellery Footfall &amp; Gold Inventory</t>
  </si>
  <si>
    <t>Malabar Gold &amp; Diamonds</t>
  </si>
  <si>
    <t>Store Operations &amp; Precious Metal Inventory</t>
  </si>
  <si>
    <t>Joyalukkas India</t>
  </si>
  <si>
    <t>Jewellery Store Network &amp; Sales Conversion</t>
  </si>
  <si>
    <t>Senco Gold &amp; Diamonds</t>
  </si>
  <si>
    <t>East India Jewellery Store Sales Analytics</t>
  </si>
  <si>
    <t>Trent Limited (Zudio/Westside)</t>
  </si>
  <si>
    <t>Fast Fashion Inventory Turns &amp; Footfall BI</t>
  </si>
  <si>
    <t>Aditya Birla Fashion (ABFRL)</t>
  </si>
  <si>
    <t>Pantaloons, Louis Philippe Brand Analytics</t>
  </si>
  <si>
    <t>Shoppers Stop</t>
  </si>
  <si>
    <t>Department Store First Citizen Loyalty BI</t>
  </si>
  <si>
    <t>Lifestyle International</t>
  </si>
  <si>
    <t>Landmark Group Apparel &amp; Footwear Sales</t>
  </si>
  <si>
    <t>Reliance Retail (Fashion/Trends)</t>
  </si>
  <si>
    <t>Reliance Trends &amp; AJIO Catalog Operations</t>
  </si>
  <si>
    <t>boAt (Imagine Marketing)</t>
  </si>
  <si>
    <t>Hearables/Wearables E-Commerce Demand</t>
  </si>
  <si>
    <t>Noise (Nexxbase)</t>
  </si>
  <si>
    <t>Smartwatch Consumer Health Telemetry &amp; BI</t>
  </si>
  <si>
    <t>Fire-Boltt</t>
  </si>
  <si>
    <t>Wearable Electronics Channel Sales Analytics</t>
  </si>
  <si>
    <t>Boult Audio</t>
  </si>
  <si>
    <t>D2C Audio Consumer Behavior &amp; Marketplace</t>
  </si>
  <si>
    <t>Portronics Digital</t>
  </si>
  <si>
    <t>Portable Gadget Inventory &amp; Amazon BI</t>
  </si>
  <si>
    <t>Mivi (SemUserData)</t>
  </si>
  <si>
    <t>Made-in-India Audio Equipment Sales Data</t>
  </si>
  <si>
    <t>Zebronics India</t>
  </si>
  <si>
    <t>Computer Peripherals &amp; Audio Distribution</t>
  </si>
  <si>
    <t>Ambrane India</t>
  </si>
  <si>
    <t>Power Bank &amp; Charging Device Channel Data</t>
  </si>
  <si>
    <t>Syska LED (SSK Group)</t>
  </si>
  <si>
    <t>Consumer Electricals &amp; Retail Distribution</t>
  </si>
  <si>
    <t>Intex Technologies</t>
  </si>
  <si>
    <t>Consumer Electronics &amp; Service Center Data</t>
  </si>
  <si>
    <t>5.20 - 8.00</t>
  </si>
  <si>
    <t>Mamaearth (Honasa)</t>
  </si>
  <si>
    <t>D2C Beauty, CAC &amp; Brand Retention Analytics</t>
  </si>
  <si>
    <t>Sugar Cosmetics (Vellvette)</t>
  </si>
  <si>
    <t>Retail Kiosk &amp; Omnichannel Cosmetics BI</t>
  </si>
  <si>
    <t>Plum Goodness (Pureplay)</t>
  </si>
  <si>
    <t>Clean Beauty D2C Order Conversion BI</t>
  </si>
  <si>
    <t>mCaffeine (PEP Technologies)</t>
  </si>
  <si>
    <t>Caffeinated Personal Care Marketing Tech</t>
  </si>
  <si>
    <t>The Derma Co</t>
  </si>
  <si>
    <t>Active Ingredients Skincare Telemetry</t>
  </si>
  <si>
    <t>Aqualogica</t>
  </si>
  <si>
    <t>Hydration Skincare D2C Performance BI</t>
  </si>
  <si>
    <t>Minimalist (Utopian)</t>
  </si>
  <si>
    <t>Active Ingredient Transparent Skincare Data</t>
  </si>
  <si>
    <t>WOW Skin Science</t>
  </si>
  <si>
    <t>Amazon Marketplace &amp; Export Supply Analytics</t>
  </si>
  <si>
    <t>Dot &amp; Key (Nykaa)</t>
  </si>
  <si>
    <t>Skincare Formulation &amp; Retail Channel BI</t>
  </si>
  <si>
    <t>Foxtale Consumer Tech</t>
  </si>
  <si>
    <t>E-Commerce Funnel &amp; Skincare Inventory BI</t>
  </si>
  <si>
    <t>Wakefit Innovations</t>
  </si>
  <si>
    <t>Sleep Solutions, D2C Furniture &amp; Logistics</t>
  </si>
  <si>
    <t>Sleepwell (Sheela Foam)</t>
  </si>
  <si>
    <t>Mattress Dealer Network &amp; Polyurethane Data</t>
  </si>
  <si>
    <t>Kurl-on Enterprise</t>
  </si>
  <si>
    <t>Coir Mattress Distribution &amp; Retail Dealer</t>
  </si>
  <si>
    <t>The Sleep Company</t>
  </si>
  <si>
    <t>SmartGRID Material &amp; Ergonomic Chair Data</t>
  </si>
  <si>
    <t>Pepperfry (Trendsutra)</t>
  </si>
  <si>
    <t>Online Furniture Marketplace &amp; Hub Logistics</t>
  </si>
  <si>
    <t>Urban Ladder (Reliance)</t>
  </si>
  <si>
    <t>Modern Furniture Retailing &amp; Store Network</t>
  </si>
  <si>
    <t>Godrej Interio</t>
  </si>
  <si>
    <t>Office Ergonomics &amp; Commercial Furniture BI</t>
  </si>
  <si>
    <t>Featherlite Furniture</t>
  </si>
  <si>
    <t>Commercial Workspace Furniture Sales Data</t>
  </si>
  <si>
    <t>Nilkamal Limited</t>
  </si>
  <si>
    <t>Moulded Plastic Furniture &amp; Material Handling</t>
  </si>
  <si>
    <t>Supreme Industries</t>
  </si>
  <si>
    <t>Plastic Piping &amp; Polymer Products Supply BI</t>
  </si>
  <si>
    <t>Nazara Technologies</t>
  </si>
  <si>
    <t>Mobile Gaming, Esports &amp; Esports AdTech</t>
  </si>
  <si>
    <t>Games24x7 (RummyCircle)</t>
  </si>
  <si>
    <t>Real-Money Gaming Fraud &amp; Player Retention</t>
  </si>
  <si>
    <t>Mobile Premier League (MPL)</t>
  </si>
  <si>
    <t>Esports Tournament &amp; Latency Telemetry</t>
  </si>
  <si>
    <t>WinZO Games</t>
  </si>
  <si>
    <t>Micro-Transaction Social Gaming &amp; User BI</t>
  </si>
  <si>
    <t>Zupee</t>
  </si>
  <si>
    <t>Casual Skill-Gaming &amp; Live Turn Analytics</t>
  </si>
  <si>
    <t>A23 (Head Digital Works)</t>
  </si>
  <si>
    <t>Skill Gaming &amp; Real-Time Fraud Telemetry</t>
  </si>
  <si>
    <t>Moonfrog Labs</t>
  </si>
  <si>
    <t>Mobile Social Board Games (Ludo Club) BI</t>
  </si>
  <si>
    <t>PlaySimple Games</t>
  </si>
  <si>
    <t>Word Puzzle Games &amp; Global Ad Monetization</t>
  </si>
  <si>
    <t>SuperGaming</t>
  </si>
  <si>
    <t>Indus Battle Royale &amp; Multiplayer Server Data</t>
  </si>
  <si>
    <t>nCore Games (FAUG)</t>
  </si>
  <si>
    <t>Indian Mobile Games &amp; In-App Purchase BI</t>
  </si>
  <si>
    <t>Zee Entertainment (ZEE5)</t>
  </si>
  <si>
    <t>Broadcast &amp; OTT Viewer Retention Telemetry</t>
  </si>
  <si>
    <t>Sony LIV (Culver Max)</t>
  </si>
  <si>
    <t>Live Sports Streaming &amp; OTT Ad Inventory</t>
  </si>
  <si>
    <t>JioCinema (Viacom18)</t>
  </si>
  <si>
    <t>High-Concurrency Cricket Streaming Telemetry</t>
  </si>
  <si>
    <t>Disney+ Star India</t>
  </si>
  <si>
    <t>Sports Broadcast &amp; Hotstar Subscription BI</t>
  </si>
  <si>
    <t>AltBalaji</t>
  </si>
  <si>
    <t>Original Regional Content &amp; Viewer Cohorts</t>
  </si>
  <si>
    <t>Pocket FM</t>
  </si>
  <si>
    <t>Audio Series Content Funnel &amp; Token Economy</t>
  </si>
  <si>
    <t>Kuku FM</t>
  </si>
  <si>
    <t>Regional Non-Fiction Audio Books &amp; Churn BI</t>
  </si>
  <si>
    <t>Stage OTT</t>
  </si>
  <si>
    <t>Dialect-Based Regional Hyperlocal Streaming</t>
  </si>
  <si>
    <t>Chaupal OTT</t>
  </si>
  <si>
    <t>Punjabi, Haryanvi &amp; Bhojpuri Content Media</t>
  </si>
  <si>
    <t>Hoichoi TV</t>
  </si>
  <si>
    <t>Bengali Regional OTT Streaming Behavior Data</t>
  </si>
  <si>
    <t>LeadSquared (MarketXpander)</t>
  </si>
  <si>
    <t>Sales Execution CRM &amp; Conversion Funnel</t>
  </si>
  <si>
    <t>CleverTap</t>
  </si>
  <si>
    <t>Customer Engagement Platform &amp; Retention AI</t>
  </si>
  <si>
    <t>MoEngage</t>
  </si>
  <si>
    <t>Omnichannel Marketing Automation &amp; Events</t>
  </si>
  <si>
    <t>WebEngage</t>
  </si>
  <si>
    <t>Retention Operating System &amp; User Engagement</t>
  </si>
  <si>
    <t>Exotel Techcom</t>
  </si>
  <si>
    <t>Cloud Telephony &amp; Contact Center Telemetry</t>
  </si>
  <si>
    <t>Knowlarity (Gupshup)</t>
  </si>
  <si>
    <t>Conversational AI Messaging &amp; WhatsApp BI</t>
  </si>
  <si>
    <t>Kaleyra India (Tata Comm)</t>
  </si>
  <si>
    <t>A2P Messaging &amp; Enterprise Omnichannel Data</t>
  </si>
  <si>
    <t>Route Mobile</t>
  </si>
  <si>
    <t>Cloud Communications CPaaS &amp; SMS Hub Data</t>
  </si>
  <si>
    <t>Tanla Platforms</t>
  </si>
  <si>
    <t>Wisely Blockchain CPaaS &amp; Telecom Anti-Phish</t>
  </si>
  <si>
    <t>ValueFirst (Twilio)</t>
  </si>
  <si>
    <t>Enterprise SMS &amp; Digital Marketing Hub Data</t>
  </si>
  <si>
    <t>KFin Technologies</t>
  </si>
  <si>
    <t>Registrar &amp; Transfer Agency Mutual Fund BI</t>
  </si>
  <si>
    <t>CAMS (Computer Age)</t>
  </si>
  <si>
    <t>Mutual Fund Operations &amp; Systematic Plan BI</t>
  </si>
  <si>
    <t>NSDL (Depository)</t>
  </si>
  <si>
    <t>Securities Depository Demat Account Volume</t>
  </si>
  <si>
    <t>CDSL India</t>
  </si>
  <si>
    <t>Central Depository Demat Operations Data</t>
  </si>
  <si>
    <t>NSE India (National Stock Exch)</t>
  </si>
  <si>
    <t>Exchange Order Matching &amp; Market Data</t>
  </si>
  <si>
    <t>BSE India (Bombay Stock Exch)</t>
  </si>
  <si>
    <t>Equity Settlement &amp; Listing Compliance Data</t>
  </si>
  <si>
    <t>MCX India (Multi Commodity)</t>
  </si>
  <si>
    <t>Commodity Derivatives &amp; Bullion Clearing Data</t>
  </si>
  <si>
    <t>NCDEX</t>
  </si>
  <si>
    <t>Agricultural Commodity Derivatives Telemetry</t>
  </si>
  <si>
    <t>CCIL (Clearing Corp)</t>
  </si>
  <si>
    <t>Money Market &amp; Forex Settlement Telemetry</t>
  </si>
  <si>
    <t>NPCI (National Payments)</t>
  </si>
  <si>
    <t>UPI, RuPay, FASTag &amp; IMPS Transaction CoE</t>
  </si>
  <si>
    <t>Lendingkart Technologies</t>
  </si>
  <si>
    <t>MSME Working Capital Lending Algorithm Data</t>
  </si>
  <si>
    <t>Northern Arc Capital</t>
  </si>
  <si>
    <t>Structured Debt &amp; Micro-Finance Platform Data</t>
  </si>
  <si>
    <t>Vivriti Capital</t>
  </si>
  <si>
    <t>Mid-Market Enterprise Debt Syndicate BI</t>
  </si>
  <si>
    <t>InCred Financial Services</t>
  </si>
  <si>
    <t>Personal Loans &amp; Education Financing Data</t>
  </si>
  <si>
    <t>DMI Finance</t>
  </si>
  <si>
    <t>Digital Embedded Lending Infrastructure Tech</t>
  </si>
  <si>
    <t>Aye Finance</t>
  </si>
  <si>
    <t>Micro-Enterprise Cluster Underwriting BI</t>
  </si>
  <si>
    <t>Kinara Capital</t>
  </si>
  <si>
    <t>Collateral-Free MSME Loan Automation Data</t>
  </si>
  <si>
    <t>Progcap</t>
  </si>
  <si>
    <t>Last-Mile Retailer Supply Chain Financing</t>
  </si>
  <si>
    <t>Rupifi</t>
  </si>
  <si>
    <t>B2B Marketplace Buy-Now-Pay-Later Analytics</t>
  </si>
  <si>
    <t>Finova Capital</t>
  </si>
  <si>
    <t>Semi-Urban Unorganized Sector Lending Data</t>
  </si>
  <si>
    <t>Apollo 24|7 (Apollo Hospitals)</t>
  </si>
  <si>
    <t>Omnichannel Pharmacy &amp; Tele-Consult Data</t>
  </si>
  <si>
    <t>Tata 1mg</t>
  </si>
  <si>
    <t>Online Medicine Delivery &amp; Diagnostics Telemetry</t>
  </si>
  <si>
    <t>PharmEasy (API Holdings)</t>
  </si>
  <si>
    <t>Pharma Supply Chain &amp; Retail chemist BI</t>
  </si>
  <si>
    <t>Netmeds (Reliance Retail)</t>
  </si>
  <si>
    <t>E-Pharmacy Fulfillment &amp; Chronic Patient Data</t>
  </si>
  <si>
    <t>Medibuddy</t>
  </si>
  <si>
    <t>Corporate Health Benefits &amp; Cashless OPD BI</t>
  </si>
  <si>
    <t>Practo Technologies</t>
  </si>
  <si>
    <t>Doctor Appointment Scheduling &amp; EHR Telemetry</t>
  </si>
  <si>
    <t>HealthifyMe</t>
  </si>
  <si>
    <t>Nutritional Tracking &amp; AI Dietitian Telemetry</t>
  </si>
  <si>
    <t>Cult.fit (Curefit)</t>
  </si>
  <si>
    <t>Gym Check-In Telemetry &amp; Fitness Cohort BI</t>
  </si>
  <si>
    <t>Orange Health Labs</t>
  </si>
  <si>
    <t>60-Min In-Home Diagnostic Test Dispatch BI</t>
  </si>
  <si>
    <t>Redcliffe Labs</t>
  </si>
  <si>
    <t>Diagnostic Pathology Equipment &amp; Sample Data</t>
  </si>
  <si>
    <t>Dr. Lal PathLabs</t>
  </si>
  <si>
    <t>Diagnostic Network Sample Logistics &amp; Lab BI</t>
  </si>
  <si>
    <t>Metropolis Healthcare</t>
  </si>
  <si>
    <t>Pathology Test Volume &amp; Hospital B2B Data</t>
  </si>
  <si>
    <t>Thyrocare Technologies</t>
  </si>
  <si>
    <t>Centralized Automated Biochemistry Telemetry</t>
  </si>
  <si>
    <t>Vijaya Diagnostic Centre</t>
  </si>
  <si>
    <t>South India Imaging &amp; Diagnostic Scan BI</t>
  </si>
  <si>
    <t>Max Healthcare</t>
  </si>
  <si>
    <t>Tertiary Hospital Bed Occupancy &amp; Surgical BI</t>
  </si>
  <si>
    <t>Fortis Healthcare</t>
  </si>
  <si>
    <t>Hospital Operating Theatre &amp; Patient Flow Data</t>
  </si>
  <si>
    <t>Narayana Health</t>
  </si>
  <si>
    <t>Cardiac Hospital Cost-Efficiency &amp; EMR BI</t>
  </si>
  <si>
    <t>Manipal Hospitals</t>
  </si>
  <si>
    <t>Healthcare Network Bed Turn &amp; Clinical Ops BI</t>
  </si>
  <si>
    <t>Aster DM Healthcare</t>
  </si>
  <si>
    <t>GCC &amp; India Multi-Speciality Clinic Data</t>
  </si>
  <si>
    <t>Medanta (Global Health)</t>
  </si>
  <si>
    <t>Medicity Super-Speciality Hospital Data Hub</t>
  </si>
  <si>
    <t>Tata Motors Limited</t>
  </si>
  <si>
    <t>Automotive Commercial &amp; Passenger Telemetry</t>
  </si>
  <si>
    <t>Mahindra &amp; Mahindra (Auto)</t>
  </si>
  <si>
    <t>SUV Telematics, Dealership &amp; Warranty BI</t>
  </si>
  <si>
    <t>Maruti Suzuki India</t>
  </si>
  <si>
    <t>Arena &amp; Nexa Dealership Volume &amp; Spare Parts</t>
  </si>
  <si>
    <t>Hyundai Motor India</t>
  </si>
  <si>
    <t>Assembly Line Yield &amp; Dealership Network BI</t>
  </si>
  <si>
    <t>Kia India</t>
  </si>
  <si>
    <t>Connected Car UVO Telematics &amp; Sales BI</t>
  </si>
  <si>
    <t>Toyota Kirloskar Motor</t>
  </si>
  <si>
    <t>Toyota Production System (TPS) Supply Data</t>
  </si>
  <si>
    <t>Honda Cars India</t>
  </si>
  <si>
    <t>Automotive Assembly &amp; Dealer Sales Data</t>
  </si>
  <si>
    <t>MG Motor India (JSW MG)</t>
  </si>
  <si>
    <t>i-SMART Connected EV Telemetry &amp; Charging</t>
  </si>
  <si>
    <t>Skoda Auto Volkswagen India</t>
  </si>
  <si>
    <t>MQB-A0-IN Platform Manufacturing &amp; BI</t>
  </si>
  <si>
    <t>Renault Nissan Technology (RNTBCI)</t>
  </si>
  <si>
    <t>Global Automotive Software &amp; Connected BI</t>
  </si>
  <si>
    <t>Hero MotoCorp</t>
  </si>
  <si>
    <t>Two-Wheeler Global Production &amp; Dealer BI</t>
  </si>
  <si>
    <t>Bajaj Auto</t>
  </si>
  <si>
    <t>Pulsar, Chetak EV &amp; Export Shipment Data</t>
  </si>
  <si>
    <t>TVS Motor Company</t>
  </si>
  <si>
    <t>SmartXonnect Telematics &amp; Racing Telemetry</t>
  </si>
  <si>
    <t>Royal Enfield (Eicher Motors)</t>
  </si>
  <si>
    <t>Mid-Weight Motorcycle Assembly &amp; Dealer BI</t>
  </si>
  <si>
    <t>Ather Energy</t>
  </si>
  <si>
    <t>EV Battery Telemetry &amp; Grid Charging BI</t>
  </si>
  <si>
    <t>Ola Electric (Manufacturing)</t>
  </si>
  <si>
    <t>FutureFactory Gigafactory Production Data</t>
  </si>
  <si>
    <t>Simple Energy</t>
  </si>
  <si>
    <t>EV Powertrain Telemetry &amp; Battery Heat Data</t>
  </si>
  <si>
    <t>Ultraviolette Automotive</t>
  </si>
  <si>
    <t>High-Performance Electric Motorcycle Telemetry</t>
  </si>
  <si>
    <t>River Mobility</t>
  </si>
  <si>
    <t>Utility EV Scooter Telemetry &amp; Fleet Data</t>
  </si>
  <si>
    <t>Tork Motors (Bharat Forge)</t>
  </si>
  <si>
    <t>Electric Powertrain Telemetry &amp; Battery Data</t>
  </si>
  <si>
    <t>MRF Limited</t>
  </si>
  <si>
    <t>Tyre Manufacturing Compound &amp; Fleet Mileage</t>
  </si>
  <si>
    <t>Apollo Tyres</t>
  </si>
  <si>
    <t>Commercial Tyre Retreading &amp; Export BI</t>
  </si>
  <si>
    <t>CEAT Limited (RPG Group)</t>
  </si>
  <si>
    <t>Smart Tyre Sensor Telemetry &amp; Dealer Network</t>
  </si>
  <si>
    <t>JK Tyre &amp; Industries</t>
  </si>
  <si>
    <t>Commercial Fleet Tyre Sensor Telematics</t>
  </si>
  <si>
    <t>Balkrishna Industries (BKT)</t>
  </si>
  <si>
    <t>Off-Highway Tyre (OHT) Global Export Data</t>
  </si>
  <si>
    <t>Motherson Group (SAMIL)</t>
  </si>
  <si>
    <t>Automotive Wiring Harness &amp; Polymer Yield</t>
  </si>
  <si>
    <t>Bharat Forge</t>
  </si>
  <si>
    <t>Forged Steel Components &amp; Precision Machining</t>
  </si>
  <si>
    <t>Sona BLW Precision (Sona Comstar)</t>
  </si>
  <si>
    <t>EV Driveline Precision Forging Data</t>
  </si>
  <si>
    <t>Sundram Fasteners (TVS)</t>
  </si>
  <si>
    <t>High-Tensile Fasteners &amp; Cold Forging BI</t>
  </si>
  <si>
    <t>Varroc Engineering</t>
  </si>
  <si>
    <t>Automotive Exterior Lighting &amp; Polymeric BI</t>
  </si>
  <si>
    <t>Endurance Technologies</t>
  </si>
  <si>
    <t>Two-Wheeler Aluminium Die-Casting &amp; Shock BI</t>
  </si>
  <si>
    <t>Exide Industries</t>
  </si>
  <si>
    <t>Lead-Acid &amp; Lithium Battery Production Data</t>
  </si>
  <si>
    <t>Amara Raja Energy (Amaron)</t>
  </si>
  <si>
    <t>Industrial Battery Formation &amp; OEM Supply</t>
  </si>
  <si>
    <t>Uno Minda (Minda Industries)</t>
  </si>
  <si>
    <t>Acoustic Horn, Alloy Wheels &amp; Switch Data</t>
  </si>
  <si>
    <t>Suprajit Engineering</t>
  </si>
  <si>
    <t>Mechanical Automotive Cables &amp; Halogen Lamp</t>
  </si>
  <si>
    <t>Craftsman Automation</t>
  </si>
  <si>
    <t>Powertrain Engine Blocks &amp; Storage Tech Data</t>
  </si>
  <si>
    <t>Jamna Auto Industries</t>
  </si>
  <si>
    <t>Automotive Tapered Leaf &amp; Parabolic Springs</t>
  </si>
  <si>
    <t>Subros Limited</t>
  </si>
  <si>
    <t>Automotive Air Conditioning Thermal System</t>
  </si>
  <si>
    <t>Gabriel India (Anand Group)</t>
  </si>
  <si>
    <t>Ride Control Shock Absorbers &amp; Front Forks</t>
  </si>
  <si>
    <t>Lumax Industries</t>
  </si>
  <si>
    <t>Automotive LED Lighting Design &amp; OEM Supply</t>
  </si>
  <si>
    <t>Voltas Limited (Tata)</t>
  </si>
  <si>
    <t>Air Conditioning Energy Efficiency &amp; Commercial</t>
  </si>
  <si>
    <t>Blue Star Limited</t>
  </si>
  <si>
    <t>Commercial Refrigeration &amp; Central Air Con</t>
  </si>
  <si>
    <t>Havells India</t>
  </si>
  <si>
    <t>Switchgear, Cables &amp; Lloyd Consumer Durables</t>
  </si>
  <si>
    <t>Polycab India</t>
  </si>
  <si>
    <t>Wires, Cables &amp; Fast Moving Electrical Goods</t>
  </si>
  <si>
    <t>Finolex Cables</t>
  </si>
  <si>
    <t>Electrical Wires &amp; Telecommunication OFC Data</t>
  </si>
  <si>
    <t>RR Kabel</t>
  </si>
  <si>
    <t>Consumer Electrical &amp; Wire Distribution BI</t>
  </si>
  <si>
    <t>Crompton Greaves Consumer</t>
  </si>
  <si>
    <t>Ceiling Fans, Pumps &amp; Home Lighting BI</t>
  </si>
  <si>
    <t>Orient Electric (CK Birla)</t>
  </si>
  <si>
    <t>Fans, Home Appliances &amp; Lighting Distribution</t>
  </si>
  <si>
    <t>Bajaj Electricals</t>
  </si>
  <si>
    <t>Consumer Luminaires, Fans &amp; EPC Utility Data</t>
  </si>
  <si>
    <t>V-Guard Industries</t>
  </si>
  <si>
    <t>Voltage Stabilizers, Solar Water Heaters BI</t>
  </si>
  <si>
    <t>Symphony Limited</t>
  </si>
  <si>
    <t>Evaporative Air Cooler Global Export &amp; Retail</t>
  </si>
  <si>
    <t>Whirlpool of India</t>
  </si>
  <si>
    <t>Refrigerators &amp; Washing Machine Assembly BI</t>
  </si>
  <si>
    <t>Godrej Appliances</t>
  </si>
  <si>
    <t>Green Refrigeration &amp; Washing Machine Sales</t>
  </si>
  <si>
    <t>IFB Industries</t>
  </si>
  <si>
    <t>Front-Load Washing Machines &amp; Appliances BI</t>
  </si>
  <si>
    <t>Daikin Airconditioning India</t>
  </si>
  <si>
    <t>Inverter HVAC Systems &amp; Dealer Network BI</t>
  </si>
  <si>
    <t>Carrier Midea India</t>
  </si>
  <si>
    <t>Residential &amp; Light Commercial HVAC Telemetry</t>
  </si>
  <si>
    <t>LG Electronics India</t>
  </si>
  <si>
    <t>Consumer Electronics Production &amp; Service BI</t>
  </si>
  <si>
    <t>Samsung India Electronics</t>
  </si>
  <si>
    <t>Noida Mobile Manufacturing &amp; Consumer BI</t>
  </si>
  <si>
    <t>Panasonic India</t>
  </si>
  <si>
    <t>MirAIe Connected Home IoT &amp; Battery Supply</t>
  </si>
  <si>
    <t>Sony India</t>
  </si>
  <si>
    <t>Bravia Smart TV, Audio Distribution &amp; Dealer</t>
  </si>
  <si>
    <t>Asian Paints</t>
  </si>
  <si>
    <t>Architectural Paints Dealer Depot Predictive BI</t>
  </si>
  <si>
    <t>Berger Paints India</t>
  </si>
  <si>
    <t>Automotive Coatings &amp; Tinting Machine Data</t>
  </si>
  <si>
    <t>Kansai Nerolac Paints</t>
  </si>
  <si>
    <t>Industrial Automotive Paint &amp; Decorative BI</t>
  </si>
  <si>
    <t>Akzo Nobel India (Dulux)</t>
  </si>
  <si>
    <t>Speciality Chemicals &amp; Performance Coatings</t>
  </si>
  <si>
    <t>Indigo Paints</t>
  </si>
  <si>
    <t>Bright Ceiling &amp; Tile Emulsion Channel Data</t>
  </si>
  <si>
    <t>Pidilite Industries (Fevicol)</t>
  </si>
  <si>
    <t>Adhesives, Sealants &amp; Construction Chemicals</t>
  </si>
  <si>
    <t>Astral Limited (Astral Poly)</t>
  </si>
  <si>
    <t>CPVC Plumbing Pipes &amp; Drainage Fittings BI</t>
  </si>
  <si>
    <t>Prince Pipes and Fittings</t>
  </si>
  <si>
    <t>Polymer Piping Systems &amp; Warehousing Data</t>
  </si>
  <si>
    <t>Kajaria Ceramics</t>
  </si>
  <si>
    <t>Ceramic Wall &amp; Vitrified Floor Tiles Dealer</t>
  </si>
  <si>
    <t>Somany Ceramics</t>
  </si>
  <si>
    <t>Sanitaryware, Bath Fittings &amp; Tile Output BI</t>
  </si>
  <si>
    <t>Cera Sanitaryware</t>
  </si>
  <si>
    <t>Bathroom Sanitary &amp; Faucets Plant Operations</t>
  </si>
  <si>
    <t>Hindware Home Innovation</t>
  </si>
  <si>
    <t>Sanitaryware, Chimneys &amp; Kitchen Appliances</t>
  </si>
  <si>
    <t>Greenply Industries</t>
  </si>
  <si>
    <t>Plywood Distribution, Timber Sourcing &amp; BI</t>
  </si>
  <si>
    <t>Century Plyboards</t>
  </si>
  <si>
    <t>Laminates, MDF &amp; Particle Board Channel BI</t>
  </si>
  <si>
    <t>Greenpanel Industries</t>
  </si>
  <si>
    <t>MDF Wood Panel Manufacturing &amp; Wood Data</t>
  </si>
  <si>
    <t>Tata Steel Limited</t>
  </si>
  <si>
    <t>Blast Furnace Sensor Telemetry &amp; Coil Yield</t>
  </si>
  <si>
    <t>JSW Steel</t>
  </si>
  <si>
    <t>Vijayanagar Steel Plant Operations &amp; Export</t>
  </si>
  <si>
    <t>Steel Authority of India (SAIL)</t>
  </si>
  <si>
    <t>Bhilai, Bokaro Steel Works Energy &amp; Output</t>
  </si>
  <si>
    <t>Jindal Steel &amp; Power (JSPL)</t>
  </si>
  <si>
    <t>Pellet Plant, Rail Mills &amp; Structural Steel</t>
  </si>
  <si>
    <t>Vedanta Resources (Sterlite)</t>
  </si>
  <si>
    <t>Zinc, Aluminium &amp; Oil Exploration Telemetry</t>
  </si>
  <si>
    <t>Hindustan Zinc Limited</t>
  </si>
  <si>
    <t>Underground Zinc Mining Sensor Telematics</t>
  </si>
  <si>
    <t>Hindalco Industries (Aditya Birla)</t>
  </si>
  <si>
    <t>Aluminium Smelter &amp; Novelis Rolled Sheet</t>
  </si>
  <si>
    <t>National Aluminium (NALCO)</t>
  </si>
  <si>
    <t>Bauxite Mining &amp; Alumina Refining Yield Data</t>
  </si>
  <si>
    <t>Coal India Limited</t>
  </si>
  <si>
    <t>Opencast Coal Extraction &amp; Railway Rake BI</t>
  </si>
  <si>
    <t>NMDC Limited</t>
  </si>
  <si>
    <t>Iron Ore Extraction &amp; Slurry Pipeline Data</t>
  </si>
  <si>
    <t>UltraTech Cement</t>
  </si>
  <si>
    <t>Cement Clinker Kiln Heat &amp; Logistics Depot</t>
  </si>
  <si>
    <t>Ambuja Cements (Adani)</t>
  </si>
  <si>
    <t>Fly Ash Blending, Port Terminal Cement Data</t>
  </si>
  <si>
    <t>ACC Limited (Adani)</t>
  </si>
  <si>
    <t>Ready Mix Concrete (RMC) Fleet Dispatch BI</t>
  </si>
  <si>
    <t>Shree Cement</t>
  </si>
  <si>
    <t>Kiln Energy Efficiency &amp; Northern India Depot</t>
  </si>
  <si>
    <t>Dalmia Bharat Cement</t>
  </si>
  <si>
    <t>Low-Carbon Cement Formulation &amp; Dealer BI</t>
  </si>
  <si>
    <t>Birla Corporation (MP Birla)</t>
  </si>
  <si>
    <t>Satna &amp; Chanderia Cement Works Kiln Output</t>
  </si>
  <si>
    <t>JK Cement</t>
  </si>
  <si>
    <t>Grey &amp; White Wall Care Putty Channel BI</t>
  </si>
  <si>
    <t>Ramco Cements</t>
  </si>
  <si>
    <t>South India Cement Blending &amp; Freight Network</t>
  </si>
  <si>
    <t>India Cements</t>
  </si>
  <si>
    <t>Tamil Nadu Clinker Grinding &amp; Dealer Sales</t>
  </si>
  <si>
    <t>Star Cement</t>
  </si>
  <si>
    <t>North East Lime Quarry &amp; Grinding Unit Data</t>
  </si>
  <si>
    <t>Reliance Industries (O2C)</t>
  </si>
  <si>
    <t>Jamnagar Refining &amp; Petrochemical Cracker</t>
  </si>
  <si>
    <t>Indian Oil Corporation (IOCL)</t>
  </si>
  <si>
    <t>Crude Refinery Throughput &amp; Retail Outlet BI</t>
  </si>
  <si>
    <t>Bharat Petroleum (BPCL)</t>
  </si>
  <si>
    <t>Mumbai/Kochi Refinery &amp; SmartFleet Card BI</t>
  </si>
  <si>
    <t>Hindustan Petroleum (HPCL)</t>
  </si>
  <si>
    <t>Visakh Refinery &amp; Direct Fuel Supply Telemetry</t>
  </si>
  <si>
    <t>Oil &amp; Natural Gas Corp (ONGC)</t>
  </si>
  <si>
    <t>Offshore Bombay High Crude Extraction Data</t>
  </si>
  <si>
    <t>Oil India Limited (OIL)</t>
  </si>
  <si>
    <t>Duliajan Exploration &amp; Assam Oil Pipeline</t>
  </si>
  <si>
    <t>GAIL (India) Limited</t>
  </si>
  <si>
    <t>Natural Gas Transmission Pipeline SCADA Data</t>
  </si>
  <si>
    <t>Petronet LNG Limited</t>
  </si>
  <si>
    <t>Dahej &amp; Kochi Regasification Terminal Data</t>
  </si>
  <si>
    <t>Indraprastha Gas (IGL)</t>
  </si>
  <si>
    <t>Delhi NCR CNG Fueling Stations &amp; City Piped</t>
  </si>
  <si>
    <t>Mahanagar Gas (MGL)</t>
  </si>
  <si>
    <t>Mumbai Region CNG Stations &amp; Domestic PNG Data</t>
  </si>
  <si>
    <t>Gujarat Gas Limited</t>
  </si>
  <si>
    <t>Ceramic Industrial Cluster Piped Gas Flow</t>
  </si>
  <si>
    <t>Adani Total Gas</t>
  </si>
  <si>
    <t>City Gas Distribution Network &amp; CNG Fleet</t>
  </si>
  <si>
    <t>Tata Power Limited</t>
  </si>
  <si>
    <t>Solar Rooftop Telemetry &amp; Grid Transmission</t>
  </si>
  <si>
    <t>NTPC Limited</t>
  </si>
  <si>
    <t>Super Thermal Power Station Efficiency SCADA</t>
  </si>
  <si>
    <t>Power Grid Corp of India</t>
  </si>
  <si>
    <t>765kV High Voltage Substation Telematics</t>
  </si>
  <si>
    <t>Adani Green Energy</t>
  </si>
  <si>
    <t>Khavda Hybrid Solar-Wind Farm Real-Time Data</t>
  </si>
  <si>
    <t>ReNew Power</t>
  </si>
  <si>
    <t>Wind Turbine Generator Yaw &amp; Pitch Telemetry</t>
  </si>
  <si>
    <t>Avaada Energy</t>
  </si>
  <si>
    <t>Utility-Scale Solar Project Generation Data</t>
  </si>
  <si>
    <t>Suzlon Energy</t>
  </si>
  <si>
    <t>Wind Turbine Fleet IoT Monitoring &amp; Power BI</t>
  </si>
  <si>
    <t>Inox Wind Limited</t>
  </si>
  <si>
    <t>Wind Turbine Nacelle Manufacturing Telemetry</t>
  </si>
  <si>
    <t>JSW Energy</t>
  </si>
  <si>
    <t>Hydroelectric &amp; Thermal Plant Output Data</t>
  </si>
  <si>
    <t>Torrent Power Limited</t>
  </si>
  <si>
    <t>Ahmedabad &amp; Surat Power Distribution Grid</t>
  </si>
  <si>
    <t>CESC Limited (RP-Sanjiv)</t>
  </si>
  <si>
    <t>Kolkata Electricity Distribution &amp; Meter BI</t>
  </si>
  <si>
    <t>NHPC Limited</t>
  </si>
  <si>
    <t>Himalayan Hydroelectric Dam Reservoir Level</t>
  </si>
  <si>
    <t>SJVN Limited</t>
  </si>
  <si>
    <t>Hydro &amp; Solar Clean Energy Dispatch Telemetry</t>
  </si>
  <si>
    <t>Reliance Jio Infocomm</t>
  </si>
  <si>
    <t>5G Sub-Band Telemetry, Cell Site Throughput</t>
  </si>
  <si>
    <t>Bharti Airtel Limited</t>
  </si>
  <si>
    <t>Airtel Thanks App, 5G Network Tower Telemetry</t>
  </si>
  <si>
    <t>Vodafone Idea (Vi)</t>
  </si>
  <si>
    <t>Prepaid ARPU, Churn Model &amp; Tower Spectrum</t>
  </si>
  <si>
    <t>Indus Towers</t>
  </si>
  <si>
    <t>Passive Telecom Infrastructure Tower Uptime</t>
  </si>
  <si>
    <t>Tata Communications</t>
  </si>
  <si>
    <t>Subsea Fiber Optic Cable &amp; SD-WAN Telemetry</t>
  </si>
  <si>
    <t>Tata Teleservices (TTBS)</t>
  </si>
  <si>
    <t>Enterprise Cloud Voice &amp; Smart Internet BI</t>
  </si>
  <si>
    <t>ACT Fibernet (Atria)</t>
  </si>
  <si>
    <t>Broadband Fiber FTTH Speed, Latency &amp; Churn</t>
  </si>
  <si>
    <t>Hathway Cable &amp; Datacom</t>
  </si>
  <si>
    <t>Docsis 3.0 &amp; Fiber Broadband Subscriber Data</t>
  </si>
  <si>
    <t>DEN Networks</t>
  </si>
  <si>
    <t>Digital Cable TV &amp; Broadband STB Telemetry</t>
  </si>
  <si>
    <t>RailTel Corp of India</t>
  </si>
  <si>
    <t>Railway Optical Fiber &amp; Station Wi-Fi Data</t>
  </si>
  <si>
    <t>Tejas Networks (Tata)</t>
  </si>
  <si>
    <t>Optical Transmission Equipment Packet Loss</t>
  </si>
  <si>
    <t>HFCL Limited</t>
  </si>
  <si>
    <t>Fiber Optic Cable Manufacturing &amp; Telecom BI</t>
  </si>
  <si>
    <t>Sterlite Technologies (STL)</t>
  </si>
  <si>
    <t>Optical Fiber Draw Tower Yield &amp; 5G Wireless</t>
  </si>
  <si>
    <t>CtrlS Datacenters</t>
  </si>
  <si>
    <t>Tier-4 Data Center PUE Power Usage Efficiency</t>
  </si>
  <si>
    <t>Yotta Data Services (Hiranandani)</t>
  </si>
  <si>
    <t>NM1 Hyperscale GPU Cloud &amp; Server Thermal</t>
  </si>
  <si>
    <t>Sify Technologies</t>
  </si>
  <si>
    <t>Network Edge Data Center Infrastructure BI</t>
  </si>
  <si>
    <t>Netmagic (NTT India)</t>
  </si>
  <si>
    <t>Enterprise Colocation &amp; Cloud Telemetry Data</t>
  </si>
  <si>
    <t>Web Werks Datacenters</t>
  </si>
  <si>
    <t>Iron Mountain Joint Venture Server Telemetry</t>
  </si>
  <si>
    <t>Nxtra by Airtel</t>
  </si>
  <si>
    <t>Hyperscale Green Data Center Renewable Usage</t>
  </si>
  <si>
    <t>STT GDC India</t>
  </si>
  <si>
    <t>Colocation High-Density Server Floor Data</t>
  </si>
  <si>
    <t>Redington India</t>
  </si>
  <si>
    <t>IT Hardware Supply Chain &amp; Global Distributor</t>
  </si>
  <si>
    <t>Ingram Micro India</t>
  </si>
  <si>
    <t>Enterprise Software Licensing &amp; IT Peripherals</t>
  </si>
  <si>
    <t>Rashi Peripherals</t>
  </si>
  <si>
    <t>Component Distribution &amp; National Retail Depot</t>
  </si>
  <si>
    <t>Savex Technologies</t>
  </si>
  <si>
    <t>IT Consumer Hardware Distributor &amp; Partner BI</t>
  </si>
  <si>
    <t>Supertron Electronics</t>
  </si>
  <si>
    <t>IT Peripherals Logistics &amp; Channel Sales Data</t>
  </si>
  <si>
    <t>5.00 - 7.80</t>
  </si>
  <si>
    <t>D-Link India</t>
  </si>
  <si>
    <t>Networking Routers, Switches Channel Inventory</t>
  </si>
  <si>
    <t>Netgear India GCC</t>
  </si>
  <si>
    <t>Wi-Fi Mesh System Telemetry &amp; Firmware BI</t>
  </si>
  <si>
    <t>TP-Link India</t>
  </si>
  <si>
    <t>WLAN Equipment Distribution &amp; Dealer Portal</t>
  </si>
  <si>
    <t>Schneider Electric India</t>
  </si>
  <si>
    <t>Smart Grid Substation Automation Telemetry</t>
  </si>
  <si>
    <t>Siemens India</t>
  </si>
  <si>
    <t>Industrial Automation PLC &amp; Medical Imaging BI</t>
  </si>
  <si>
    <t>ABB India Limited</t>
  </si>
  <si>
    <t>Robotics Arms, Industrial Variable Drives BI</t>
  </si>
  <si>
    <t>Honeywell Technology Solutions</t>
  </si>
  <si>
    <t>Avionics Sensor Telemetry &amp; Building Automation</t>
  </si>
  <si>
    <t>Emerson Electric India</t>
  </si>
  <si>
    <t>Process Automation Valves &amp; Measurement Data</t>
  </si>
  <si>
    <t>Rockwell Automation India</t>
  </si>
  <si>
    <t>Industrial IoT FactoryTalk Data &amp; Assembly Line</t>
  </si>
  <si>
    <t>Yokogawa India</t>
  </si>
  <si>
    <t>DCS Distributed Control Systems Refinery BI</t>
  </si>
  <si>
    <t>Danfoss India</t>
  </si>
  <si>
    <t>Variable Speed Inverter Drives &amp; HVAC Valves</t>
  </si>
  <si>
    <t>Thermax Limited</t>
  </si>
  <si>
    <t>Boilers, Waste Heat Recovery &amp; Industrial Scrub</t>
  </si>
  <si>
    <t>Forbes Marshall</t>
  </si>
  <si>
    <t>Steam Engineering &amp; Process Efficiency Sensors</t>
  </si>
  <si>
    <t>Kirloskar Brothers</t>
  </si>
  <si>
    <t>Centrifugal Pumps Fluid Dynamics &amp; Water Supply</t>
  </si>
  <si>
    <t>Kirloskar Oil Engines</t>
  </si>
  <si>
    <t>Diesel Generating Sets &amp; Agricultural Engines</t>
  </si>
  <si>
    <t>Cummins India</t>
  </si>
  <si>
    <t>Heavy Diesel Engines &amp; Emission Control Data</t>
  </si>
  <si>
    <t>Greaves Cotton</t>
  </si>
  <si>
    <t>Last-Mile E-Mobility Ampere Powertrain Data</t>
  </si>
  <si>
    <t>Escorts Kubota</t>
  </si>
  <si>
    <t>Farm Tractor Telemetry &amp; Construction Equipment</t>
  </si>
  <si>
    <t>Action Construction (ACE)</t>
  </si>
  <si>
    <t>Hydraulic Mobile Cranes &amp; Forklift Telemetry</t>
  </si>
  <si>
    <t>BEML Limited</t>
  </si>
  <si>
    <t>Metro Coach Rail Bogie &amp; Earthmoving Machinery</t>
  </si>
  <si>
    <t>BHEL Limited</t>
  </si>
  <si>
    <t>Turbine Generators &amp; Heavy Electrical Equipment</t>
  </si>
  <si>
    <t>Larsen &amp; Toubro (L&amp;T Heavy)</t>
  </si>
  <si>
    <t>EPC Infrastructure Project Milestone &amp; Cost BI</t>
  </si>
  <si>
    <t>Tata Projects</t>
  </si>
  <si>
    <t>Industrial Plant Construction Schedule Telemetry</t>
  </si>
  <si>
    <t>Afcons Infrastructure (Shapoorji)</t>
  </si>
  <si>
    <t>Marine Port &amp; Highway Tunnel Engineering BI</t>
  </si>
  <si>
    <t>Dilip Buildcon</t>
  </si>
  <si>
    <t>Road Highway Concession &amp; Road Surface Sensor</t>
  </si>
  <si>
    <t>IRB Infrastructure Developers</t>
  </si>
  <si>
    <t>Toll Road FASTag Revenue &amp; Highway Concession</t>
  </si>
  <si>
    <t>NCC Limited (Nagarjuna)</t>
  </si>
  <si>
    <t>Water Supply Pipelines &amp; Building EPC Tracking</t>
  </si>
  <si>
    <t>PNC Infratech</t>
  </si>
  <si>
    <t>Expressway Hybrid Annuity Model (HAM) Telemetry</t>
  </si>
  <si>
    <t>KNR Constructions</t>
  </si>
  <si>
    <t>Flyover &amp; Irrigation Project Execution Schedule</t>
  </si>
  <si>
    <t>GR Infraprojects</t>
  </si>
  <si>
    <t>Highway Pavement Quality Concrete Sensor Data</t>
  </si>
  <si>
    <t>GMR Airports Infrastructure</t>
  </si>
  <si>
    <t>Delhi &amp; Hyderabad Airport Terminal Passenger BI</t>
  </si>
  <si>
    <t>Adani Ports &amp; SEZ (APSEZ)</t>
  </si>
  <si>
    <t>Mundra Port Container Cranes &amp; Rake Turnaround</t>
  </si>
  <si>
    <t>JSW Infrastructure</t>
  </si>
  <si>
    <t>Jaigarh &amp; Dharamtar Cargo Berthing Turnaround</t>
  </si>
  <si>
    <t>Gujarat Pipavav Port (APM)</t>
  </si>
  <si>
    <t>Container Terminal Ship Crane Moves Per Hour</t>
  </si>
  <si>
    <t>Cochin Shipyard Limited</t>
  </si>
  <si>
    <t>Vessel Shipbuilding Dry Dock &amp; Repair Hull Data</t>
  </si>
  <si>
    <t>Mazagon Dock Shipbuilders</t>
  </si>
  <si>
    <t>Naval Submarine &amp; Stealth Frigate Assembly</t>
  </si>
  <si>
    <t>Garden Reach Shipbuilders (GRSE)</t>
  </si>
  <si>
    <t>Fast Patrol Vessels &amp; Marine Engine Assembly</t>
  </si>
  <si>
    <t>Hindustan Aeronautics (HAL)</t>
  </si>
  <si>
    <t>Tejas Light Combat Aircraft Component Telemetry</t>
  </si>
  <si>
    <t>Bharat Electronics (BEL)</t>
  </si>
  <si>
    <t>Military Radar Defense Avionics &amp; Sonar Telemetry</t>
  </si>
  <si>
    <t>Bharat Dynamics Limited (BDL)</t>
  </si>
  <si>
    <t>Surface-to-Air Guided Missiles Testing Data</t>
  </si>
  <si>
    <t>Astra Microwave Products</t>
  </si>
  <si>
    <t>RF Microwave Modules Defense Radar Telemetry</t>
  </si>
  <si>
    <t>Data Patterns (India)</t>
  </si>
  <si>
    <t>Electronic Warfare Radar Processors Telemetry</t>
  </si>
  <si>
    <t>Paras Defence &amp; Space Tech</t>
  </si>
  <si>
    <t>Optics Cameras for Drones &amp; Space Satellites</t>
  </si>
  <si>
    <t>Zen Technologies</t>
  </si>
  <si>
    <t>Combat Training Simulators &amp; Anti-Drone Sensor</t>
  </si>
  <si>
    <t>Dynamatic Technologies</t>
  </si>
  <si>
    <t>Airbus &amp; Boeing Aerostructures Precision Flap</t>
  </si>
  <si>
    <t>Sun TV Network</t>
  </si>
  <si>
    <t>South Indian Satellite Broadcast TRP &amp; Ad Sales</t>
  </si>
  <si>
    <t>Aha Video (Arha Media)</t>
  </si>
  <si>
    <t>Telugu &amp; Tamil OTT Audience Cohort Analysis</t>
  </si>
  <si>
    <t>BookMyShow (Bigtree)</t>
  </si>
  <si>
    <t>Live Cinema Box Office &amp; Concert Ticketing BI</t>
  </si>
  <si>
    <t>PVR INOX Limited</t>
  </si>
  <si>
    <t>Multiplex Ticket Booking, F&amp;B Concessions BI</t>
  </si>
  <si>
    <t>Times Internet Limited</t>
  </si>
  <si>
    <t>TOI, Cricbuzz, Gaana AdTech &amp; Subscription</t>
  </si>
  <si>
    <t>Shemaroo Entertainment</t>
  </si>
  <si>
    <t>Classic Bollywood Content Licensing &amp; Media Data</t>
  </si>
  <si>
    <t>Network18 Media &amp; Investments</t>
  </si>
  <si>
    <t>Moneycontrol Financial Traffic &amp; News BI</t>
  </si>
  <si>
    <t>NDTV (New Delhi Television)</t>
  </si>
  <si>
    <t>Broadcast Television Viewing Minutes &amp; Digital</t>
  </si>
  <si>
    <t>India Today Group (TV Today)</t>
  </si>
  <si>
    <t>Aaj Tak News App Latency &amp; Video View Seconds</t>
  </si>
  <si>
    <t>HT Media Limited</t>
  </si>
  <si>
    <t>Hindustan Times Digital Pageviews &amp; Readership</t>
  </si>
  <si>
    <t>Part 1: Ranks #1 to #200 — Apex Quants, Global Big Tech &amp; Unicorns</t>
  </si>
  <si>
    <t>Compensation Spectrum: ₹5.5 LPA to ₹75.0 LPA | Top High-Frequency Trading &amp; Global Enterprise Firms</t>
  </si>
  <si>
    <t>Part 2: Ranks #201 to #400 — BFSI, InsurTech, Logistics &amp; D2C</t>
  </si>
  <si>
    <t>Compensation Spectrum: ₹5.5 LPA to ₹12.5 LPA | Banking BIUs, Consumer Brands, Healthcare &amp; Media</t>
  </si>
  <si>
    <t>Part 3: Ranks #401 to #600 — Automotive, Energy, Telecom &amp; Industrial</t>
  </si>
  <si>
    <t>Compensation Spectrum: ₹5.0 LPA to ₹10.5 LPA | Manufacturing, Defense, Telecom &amp; Infrastructure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</si>
</sst>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&quot;L&quot;"/>
  </numFmts>
  <fonts count="7" x14ac:knownFonts="1">
    <font>
      <sz val="11"/>
      <color theme="1"/>
      <name val="Calibri"/>
      <family val="2"/>
      <scheme val="minor"/>
    </font>
    <font>
      <i/>
      <sz val="11"/>
      <color rgb="FF4A5568"/>
      <name val="Calibri"/>
      <family val="2"/>
    </font>
    <font>
      <b/>
      <sz val="11"/>
      <color rgb="FFFFFFFF"/>
      <name val="Calibri"/>
      <family val="2"/>
    </font>
    <font>
      <b/>
      <sz val="11"/>
      <color rgb="FF2D3748"/>
      <name val="Calibri"/>
      <family val="2"/>
    </font>
    <font>
      <sz val="11"/>
      <color rgb="FF2D3748"/>
      <name val="Calibri"/>
      <family val="2"/>
    </font>
    <font>
      <u/>
      <sz val="11"/>
      <color rgb="FF0969DA"/>
      <name val="Calibri"/>
      <family val="2"/>
    </font>
    <font>
      <b/>
      <sz val="16"/>
      <color rgb="FF1B365D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7F9FC"/>
        <bgColor rgb="FFF7F9FC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4A5568"/>
      </left>
      <right style="thin">
        <color rgb="FF4A5568"/>
      </right>
      <top style="medium">
        <color rgb="FF1B365D"/>
      </top>
      <bottom style="medium">
        <color rgb="FF1B365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03"/>
  <sheetViews>
    <sheetView tabSelected="1" workbookViewId="0">
      <pane ySplit="3" topLeftCell="A28" activePane="bottomLeft" state="frozen"/>
      <selection pane="bottomLeft" activeCell="G29" sqref="G29"/>
    </sheetView>
  </sheetViews>
  <sheetFormatPr defaultRowHeight="14.4" x14ac:dyDescent="0.3"/>
  <cols>
    <col min="1" max="1" width="10" customWidth="1"/>
    <col min="2" max="2" width="34" customWidth="1"/>
    <col min="3" max="3" width="48" customWidth="1"/>
    <col min="4" max="4" width="25" customWidth="1"/>
    <col min="5" max="6" width="16" customWidth="1"/>
    <col min="7" max="7" width="24" customWidth="1"/>
  </cols>
  <sheetData>
    <row r="1" spans="1:7" ht="21" x14ac:dyDescent="0.4">
      <c r="A1" s="4" t="s">
        <v>0</v>
      </c>
    </row>
    <row r="2" spans="1:7" x14ac:dyDescent="0.3">
      <c r="A2" s="1" t="s">
        <v>1</v>
      </c>
    </row>
    <row r="3" spans="1:7" ht="28.05" customHeight="1" x14ac:dyDescent="0.3">
      <c r="A3" s="5" t="s">
        <v>2</v>
      </c>
      <c r="B3" s="6" t="s">
        <v>3</v>
      </c>
      <c r="C3" s="6" t="s">
        <v>4</v>
      </c>
      <c r="D3" s="6" t="s">
        <v>5</v>
      </c>
      <c r="E3" s="5" t="s">
        <v>6</v>
      </c>
      <c r="F3" s="5" t="s">
        <v>7</v>
      </c>
      <c r="G3" s="5" t="s">
        <v>8</v>
      </c>
    </row>
    <row r="4" spans="1:7" ht="22.05" customHeight="1" x14ac:dyDescent="0.3">
      <c r="A4" s="7">
        <v>1</v>
      </c>
      <c r="B4" s="8" t="s">
        <v>9</v>
      </c>
      <c r="C4" s="9" t="s">
        <v>10</v>
      </c>
      <c r="D4" s="7" t="s">
        <v>11</v>
      </c>
      <c r="E4" s="10">
        <v>45</v>
      </c>
      <c r="F4" s="10">
        <v>65</v>
      </c>
      <c r="G4" s="3" t="str">
        <f>HYPERLINK("https://www.janestreet.com/join-jane-street/open-roles/", "Apply / Careers ↗")</f>
        <v>Apply / Careers ↗</v>
      </c>
    </row>
    <row r="5" spans="1:7" ht="22.05" customHeight="1" x14ac:dyDescent="0.3">
      <c r="A5" s="11">
        <v>2</v>
      </c>
      <c r="B5" s="12" t="s">
        <v>12</v>
      </c>
      <c r="C5" s="13" t="s">
        <v>13</v>
      </c>
      <c r="D5" s="11" t="s">
        <v>14</v>
      </c>
      <c r="E5" s="14">
        <v>38</v>
      </c>
      <c r="F5" s="14">
        <v>52</v>
      </c>
      <c r="G5" s="2" t="str">
        <f>HYPERLINK("https://www.tower-research.com/open-positions", "Apply / Careers ↗")</f>
        <v>Apply / Careers ↗</v>
      </c>
    </row>
    <row r="6" spans="1:7" ht="22.05" customHeight="1" x14ac:dyDescent="0.3">
      <c r="A6" s="7">
        <v>3</v>
      </c>
      <c r="B6" s="8" t="s">
        <v>15</v>
      </c>
      <c r="C6" s="9" t="s">
        <v>16</v>
      </c>
      <c r="D6" s="7" t="s">
        <v>17</v>
      </c>
      <c r="E6" s="10">
        <v>36</v>
      </c>
      <c r="F6" s="10">
        <v>50</v>
      </c>
      <c r="G6" s="3" t="str">
        <f>HYPERLINK("https://gravitonresearch.com/careers/", "Apply / Careers ↗")</f>
        <v>Apply / Careers ↗</v>
      </c>
    </row>
    <row r="7" spans="1:7" ht="22.05" customHeight="1" x14ac:dyDescent="0.3">
      <c r="A7" s="11">
        <v>4</v>
      </c>
      <c r="B7" s="12" t="s">
        <v>18</v>
      </c>
      <c r="C7" s="13" t="s">
        <v>19</v>
      </c>
      <c r="D7" s="11" t="s">
        <v>20</v>
      </c>
      <c r="E7" s="14">
        <v>35</v>
      </c>
      <c r="F7" s="14">
        <v>48</v>
      </c>
      <c r="G7" s="2" t="str">
        <f>HYPERLINK("https://www.citadel.com/careers/open-roles/", "Apply / Careers ↗")</f>
        <v>Apply / Careers ↗</v>
      </c>
    </row>
    <row r="8" spans="1:7" ht="22.05" customHeight="1" x14ac:dyDescent="0.3">
      <c r="A8" s="7">
        <v>5</v>
      </c>
      <c r="B8" s="8" t="s">
        <v>21</v>
      </c>
      <c r="C8" s="9" t="s">
        <v>22</v>
      </c>
      <c r="D8" s="7" t="s">
        <v>23</v>
      </c>
      <c r="E8" s="10">
        <v>35</v>
      </c>
      <c r="F8" s="10">
        <v>48</v>
      </c>
      <c r="G8" s="3" t="str">
        <f>HYPERLINK("https://www.hudsonrivertrading.com/careers/", "Apply / Careers ↗")</f>
        <v>Apply / Careers ↗</v>
      </c>
    </row>
    <row r="9" spans="1:7" ht="22.05" customHeight="1" x14ac:dyDescent="0.3">
      <c r="A9" s="11">
        <v>6</v>
      </c>
      <c r="B9" s="12" t="s">
        <v>24</v>
      </c>
      <c r="C9" s="13" t="s">
        <v>25</v>
      </c>
      <c r="D9" s="11" t="s">
        <v>23</v>
      </c>
      <c r="E9" s="14">
        <v>34</v>
      </c>
      <c r="F9" s="14">
        <v>46</v>
      </c>
      <c r="G9" s="2" t="str">
        <f>HYPERLINK("https://www.jumptrading.com/careers/", "Apply / Careers ↗")</f>
        <v>Apply / Careers ↗</v>
      </c>
    </row>
    <row r="10" spans="1:7" ht="22.05" customHeight="1" x14ac:dyDescent="0.3">
      <c r="A10" s="7">
        <v>7</v>
      </c>
      <c r="B10" s="8" t="s">
        <v>26</v>
      </c>
      <c r="C10" s="9" t="s">
        <v>27</v>
      </c>
      <c r="D10" s="7" t="s">
        <v>28</v>
      </c>
      <c r="E10" s="10">
        <v>28</v>
      </c>
      <c r="F10" s="10">
        <v>38</v>
      </c>
      <c r="G10" s="3" t="str">
        <f>HYPERLINK("https://www.deshawindia.com/careers", "Apply / Careers ↗")</f>
        <v>Apply / Careers ↗</v>
      </c>
    </row>
    <row r="11" spans="1:7" ht="22.05" customHeight="1" x14ac:dyDescent="0.3">
      <c r="A11" s="11">
        <v>8</v>
      </c>
      <c r="B11" s="12" t="s">
        <v>29</v>
      </c>
      <c r="C11" s="13" t="s">
        <v>30</v>
      </c>
      <c r="D11" s="11" t="s">
        <v>31</v>
      </c>
      <c r="E11" s="14">
        <v>26</v>
      </c>
      <c r="F11" s="14">
        <v>36</v>
      </c>
      <c r="G11" s="2" t="str">
        <f>HYPERLINK("https://www.worldquant.com/careers/", "Apply / Careers ↗")</f>
        <v>Apply / Careers ↗</v>
      </c>
    </row>
    <row r="12" spans="1:7" ht="22.05" customHeight="1" x14ac:dyDescent="0.3">
      <c r="A12" s="7">
        <v>9</v>
      </c>
      <c r="B12" s="8" t="s">
        <v>32</v>
      </c>
      <c r="C12" s="9" t="s">
        <v>33</v>
      </c>
      <c r="D12" s="7" t="s">
        <v>31</v>
      </c>
      <c r="E12" s="10">
        <v>26</v>
      </c>
      <c r="F12" s="10">
        <v>36</v>
      </c>
      <c r="G12" s="3" t="str">
        <f>HYPERLINK("https://optiver.com/working-at-optiver/career-opportunities/", "Apply / Careers ↗")</f>
        <v>Apply / Careers ↗</v>
      </c>
    </row>
    <row r="13" spans="1:7" ht="22.05" customHeight="1" x14ac:dyDescent="0.3">
      <c r="A13" s="11">
        <v>10</v>
      </c>
      <c r="B13" s="12" t="s">
        <v>34</v>
      </c>
      <c r="C13" s="13" t="s">
        <v>35</v>
      </c>
      <c r="D13" s="11" t="s">
        <v>36</v>
      </c>
      <c r="E13" s="14">
        <v>22</v>
      </c>
      <c r="F13" s="14">
        <v>28</v>
      </c>
      <c r="G13" s="2" t="str">
        <f>HYPERLINK("https://www.metacareers.com/jobs", "Apply / Careers ↗")</f>
        <v>Apply / Careers ↗</v>
      </c>
    </row>
    <row r="14" spans="1:7" ht="22.05" customHeight="1" x14ac:dyDescent="0.3">
      <c r="A14" s="7">
        <v>11</v>
      </c>
      <c r="B14" s="8" t="s">
        <v>37</v>
      </c>
      <c r="C14" s="9" t="s">
        <v>38</v>
      </c>
      <c r="D14" s="7" t="s">
        <v>39</v>
      </c>
      <c r="E14" s="10">
        <v>20</v>
      </c>
      <c r="F14" s="10">
        <v>26</v>
      </c>
      <c r="G14" s="3" t="str">
        <f>HYPERLINK("https://www.google.com/about/careers/applications/jobs/results", "Apply / Careers ↗")</f>
        <v>Apply / Careers ↗</v>
      </c>
    </row>
    <row r="15" spans="1:7" ht="22.05" customHeight="1" x14ac:dyDescent="0.3">
      <c r="A15" s="11">
        <v>12</v>
      </c>
      <c r="B15" s="12" t="s">
        <v>40</v>
      </c>
      <c r="C15" s="13" t="s">
        <v>41</v>
      </c>
      <c r="D15" s="11" t="s">
        <v>42</v>
      </c>
      <c r="E15" s="14">
        <v>20</v>
      </c>
      <c r="F15" s="14">
        <v>25</v>
      </c>
      <c r="G15" s="2" t="str">
        <f>HYPERLINK("https://stripe.com/jobs/search", "Apply / Careers ↗")</f>
        <v>Apply / Careers ↗</v>
      </c>
    </row>
    <row r="16" spans="1:7" ht="22.05" customHeight="1" x14ac:dyDescent="0.3">
      <c r="A16" s="7">
        <v>13</v>
      </c>
      <c r="B16" s="8" t="s">
        <v>43</v>
      </c>
      <c r="C16" s="9" t="s">
        <v>44</v>
      </c>
      <c r="D16" s="7" t="s">
        <v>45</v>
      </c>
      <c r="E16" s="10">
        <v>18</v>
      </c>
      <c r="F16" s="10">
        <v>24</v>
      </c>
      <c r="G16" s="3" t="str">
        <f>HYPERLINK("https://www.atlassian.com/company/careers/all-jobs", "Apply / Careers ↗")</f>
        <v>Apply / Careers ↗</v>
      </c>
    </row>
    <row r="17" spans="1:7" ht="22.05" customHeight="1" x14ac:dyDescent="0.3">
      <c r="A17" s="11">
        <v>14</v>
      </c>
      <c r="B17" s="12" t="s">
        <v>46</v>
      </c>
      <c r="C17" s="13" t="s">
        <v>47</v>
      </c>
      <c r="D17" s="11" t="s">
        <v>48</v>
      </c>
      <c r="E17" s="14">
        <v>18</v>
      </c>
      <c r="F17" s="14">
        <v>23</v>
      </c>
      <c r="G17" s="2" t="str">
        <f>HYPERLINK("https://www.uber.com/us/en/careers/list/", "Apply / Careers ↗")</f>
        <v>Apply / Careers ↗</v>
      </c>
    </row>
    <row r="18" spans="1:7" ht="22.05" customHeight="1" x14ac:dyDescent="0.3">
      <c r="A18" s="7">
        <v>15</v>
      </c>
      <c r="B18" s="8" t="s">
        <v>49</v>
      </c>
      <c r="C18" s="9" t="s">
        <v>50</v>
      </c>
      <c r="D18" s="7" t="s">
        <v>48</v>
      </c>
      <c r="E18" s="10">
        <v>18</v>
      </c>
      <c r="F18" s="10">
        <v>23</v>
      </c>
      <c r="G18" s="3" t="str">
        <f>HYPERLINK("https://careers.snowflake.com/us/en/search-results", "Apply / Careers ↗")</f>
        <v>Apply / Careers ↗</v>
      </c>
    </row>
    <row r="19" spans="1:7" ht="22.05" customHeight="1" x14ac:dyDescent="0.3">
      <c r="A19" s="11">
        <v>16</v>
      </c>
      <c r="B19" s="12" t="s">
        <v>51</v>
      </c>
      <c r="C19" s="13" t="s">
        <v>52</v>
      </c>
      <c r="D19" s="11" t="s">
        <v>53</v>
      </c>
      <c r="E19" s="14">
        <v>18</v>
      </c>
      <c r="F19" s="14">
        <v>24</v>
      </c>
      <c r="G19" s="2" t="str">
        <f>HYPERLINK("https://www.databricks.com/company/careers", "Apply / Careers ↗")</f>
        <v>Apply / Careers ↗</v>
      </c>
    </row>
    <row r="20" spans="1:7" ht="22.05" customHeight="1" x14ac:dyDescent="0.3">
      <c r="A20" s="7">
        <v>17</v>
      </c>
      <c r="B20" s="8" t="s">
        <v>54</v>
      </c>
      <c r="C20" s="9" t="s">
        <v>55</v>
      </c>
      <c r="D20" s="7" t="s">
        <v>56</v>
      </c>
      <c r="E20" s="10">
        <v>16</v>
      </c>
      <c r="F20" s="10">
        <v>22</v>
      </c>
      <c r="G20" s="3" t="str">
        <f>HYPERLINK("https://careers.microsoft.com/professionals/us/en/search-results", "Apply / Careers ↗")</f>
        <v>Apply / Careers ↗</v>
      </c>
    </row>
    <row r="21" spans="1:7" ht="22.05" customHeight="1" x14ac:dyDescent="0.3">
      <c r="A21" s="11">
        <v>18</v>
      </c>
      <c r="B21" s="12" t="s">
        <v>57</v>
      </c>
      <c r="C21" s="13" t="s">
        <v>58</v>
      </c>
      <c r="D21" s="11" t="s">
        <v>59</v>
      </c>
      <c r="E21" s="14">
        <v>16</v>
      </c>
      <c r="F21" s="14">
        <v>21</v>
      </c>
      <c r="G21" s="2" t="str">
        <f>HYPERLINK("https://www.amazon.jobs/en/search", "Apply / Careers ↗")</f>
        <v>Apply / Careers ↗</v>
      </c>
    </row>
    <row r="22" spans="1:7" ht="22.05" customHeight="1" x14ac:dyDescent="0.3">
      <c r="A22" s="7">
        <v>19</v>
      </c>
      <c r="B22" s="8" t="s">
        <v>60</v>
      </c>
      <c r="C22" s="9" t="s">
        <v>61</v>
      </c>
      <c r="D22" s="7" t="s">
        <v>56</v>
      </c>
      <c r="E22" s="10">
        <v>16</v>
      </c>
      <c r="F22" s="10">
        <v>22</v>
      </c>
      <c r="G22" s="3" t="str">
        <f>HYPERLINK("https://jobs.apple.com/en-in/search", "Apply / Careers ↗")</f>
        <v>Apply / Careers ↗</v>
      </c>
    </row>
    <row r="23" spans="1:7" ht="22.05" customHeight="1" x14ac:dyDescent="0.3">
      <c r="A23" s="11">
        <v>20</v>
      </c>
      <c r="B23" s="12" t="s">
        <v>62</v>
      </c>
      <c r="C23" s="13" t="s">
        <v>63</v>
      </c>
      <c r="D23" s="11" t="s">
        <v>64</v>
      </c>
      <c r="E23" s="14">
        <v>16</v>
      </c>
      <c r="F23" s="14">
        <v>21</v>
      </c>
      <c r="G23" s="2" t="str">
        <f>HYPERLINK("https://www.linkedin.com/company/linkedin/jobs/", "Apply / Careers ↗")</f>
        <v>Apply / Careers ↗</v>
      </c>
    </row>
    <row r="24" spans="1:7" ht="22.05" customHeight="1" x14ac:dyDescent="0.3">
      <c r="A24" s="7">
        <v>21</v>
      </c>
      <c r="B24" s="8" t="s">
        <v>65</v>
      </c>
      <c r="C24" s="9" t="s">
        <v>66</v>
      </c>
      <c r="D24" s="7" t="s">
        <v>67</v>
      </c>
      <c r="E24" s="10">
        <v>15</v>
      </c>
      <c r="F24" s="10">
        <v>20</v>
      </c>
      <c r="G24" s="3" t="str">
        <f>HYPERLINK("https://jobs.intuit.com/search-jobs", "Apply / Careers ↗")</f>
        <v>Apply / Careers ↗</v>
      </c>
    </row>
    <row r="25" spans="1:7" ht="22.05" customHeight="1" x14ac:dyDescent="0.3">
      <c r="A25" s="11">
        <v>22</v>
      </c>
      <c r="B25" s="12" t="s">
        <v>68</v>
      </c>
      <c r="C25" s="13" t="s">
        <v>69</v>
      </c>
      <c r="D25" s="11" t="s">
        <v>70</v>
      </c>
      <c r="E25" s="14">
        <v>15</v>
      </c>
      <c r="F25" s="14">
        <v>21</v>
      </c>
      <c r="G25" s="2" t="str">
        <f>HYPERLINK("https://www.coinbase.com/careers/positions", "Apply / Careers ↗")</f>
        <v>Apply / Careers ↗</v>
      </c>
    </row>
    <row r="26" spans="1:7" ht="22.05" customHeight="1" x14ac:dyDescent="0.3">
      <c r="A26" s="7">
        <v>23</v>
      </c>
      <c r="B26" s="8" t="s">
        <v>71</v>
      </c>
      <c r="C26" s="9" t="s">
        <v>72</v>
      </c>
      <c r="D26" s="7" t="s">
        <v>73</v>
      </c>
      <c r="E26" s="10">
        <v>15</v>
      </c>
      <c r="F26" s="10">
        <v>20</v>
      </c>
      <c r="G26" s="3" t="str">
        <f>HYPERLINK("https://careers.adobe.com/us/en/search-results", "Apply / Careers ↗")</f>
        <v>Apply / Careers ↗</v>
      </c>
    </row>
    <row r="27" spans="1:7" ht="22.05" customHeight="1" x14ac:dyDescent="0.3">
      <c r="A27" s="11">
        <v>24</v>
      </c>
      <c r="B27" s="12" t="s">
        <v>74</v>
      </c>
      <c r="C27" s="13" t="s">
        <v>75</v>
      </c>
      <c r="D27" s="11" t="s">
        <v>76</v>
      </c>
      <c r="E27" s="14">
        <v>14</v>
      </c>
      <c r="F27" s="14">
        <v>20</v>
      </c>
      <c r="G27" s="2" t="str">
        <f>HYPERLINK("https://careers.cred.club/", "Apply / Careers ↗")</f>
        <v>Apply / Careers ↗</v>
      </c>
    </row>
    <row r="28" spans="1:7" ht="22.05" customHeight="1" x14ac:dyDescent="0.3">
      <c r="A28" s="7">
        <v>25</v>
      </c>
      <c r="B28" s="8" t="s">
        <v>77</v>
      </c>
      <c r="C28" s="9" t="s">
        <v>78</v>
      </c>
      <c r="D28" s="7" t="s">
        <v>79</v>
      </c>
      <c r="E28" s="10">
        <v>14</v>
      </c>
      <c r="F28" s="10">
        <v>19</v>
      </c>
      <c r="G28" s="3" t="str">
        <f>HYPERLINK("https://www.phonepe.com/careers/", "Apply / Careers ↗")</f>
        <v>Apply / Careers ↗</v>
      </c>
    </row>
    <row r="29" spans="1:7" ht="22.05" customHeight="1" x14ac:dyDescent="0.3">
      <c r="A29" s="11">
        <v>26</v>
      </c>
      <c r="B29" s="12" t="s">
        <v>80</v>
      </c>
      <c r="C29" s="13" t="s">
        <v>81</v>
      </c>
      <c r="D29" s="11" t="s">
        <v>79</v>
      </c>
      <c r="E29" s="14">
        <v>14</v>
      </c>
      <c r="F29" s="14">
        <v>19</v>
      </c>
      <c r="G29" s="2" t="str">
        <f>HYPERLINK("https://razorpay.com/jobs/", "Apply / Careers ↗")</f>
        <v>Apply / Careers ↗</v>
      </c>
    </row>
    <row r="30" spans="1:7" ht="22.05" customHeight="1" x14ac:dyDescent="0.3">
      <c r="A30" s="7">
        <v>27</v>
      </c>
      <c r="B30" s="8" t="s">
        <v>82</v>
      </c>
      <c r="C30" s="9" t="s">
        <v>83</v>
      </c>
      <c r="D30" s="7" t="s">
        <v>84</v>
      </c>
      <c r="E30" s="10">
        <v>13</v>
      </c>
      <c r="F30" s="10">
        <v>18</v>
      </c>
      <c r="G30" s="3" t="str">
        <f>HYPERLINK("https://careers.swiggy.com/", "Apply / Careers ↗")</f>
        <v>Apply / Careers ↗</v>
      </c>
    </row>
    <row r="31" spans="1:7" ht="22.05" customHeight="1" x14ac:dyDescent="0.3">
      <c r="A31" s="11">
        <v>28</v>
      </c>
      <c r="B31" s="12" t="s">
        <v>85</v>
      </c>
      <c r="C31" s="13" t="s">
        <v>86</v>
      </c>
      <c r="D31" s="11" t="s">
        <v>84</v>
      </c>
      <c r="E31" s="14">
        <v>13</v>
      </c>
      <c r="F31" s="14">
        <v>18</v>
      </c>
      <c r="G31" s="2" t="str">
        <f>HYPERLINK("https://www.flipkartcareers.com/", "Apply / Careers ↗")</f>
        <v>Apply / Careers ↗</v>
      </c>
    </row>
    <row r="32" spans="1:7" ht="22.05" customHeight="1" x14ac:dyDescent="0.3">
      <c r="A32" s="7">
        <v>29</v>
      </c>
      <c r="B32" s="8" t="s">
        <v>87</v>
      </c>
      <c r="C32" s="9" t="s">
        <v>88</v>
      </c>
      <c r="D32" s="7" t="s">
        <v>89</v>
      </c>
      <c r="E32" s="10">
        <v>13</v>
      </c>
      <c r="F32" s="10">
        <v>18</v>
      </c>
      <c r="G32" s="3" t="str">
        <f>HYPERLINK("https://www.zeptonow.com/careers", "Apply / Careers ↗")</f>
        <v>Apply / Careers ↗</v>
      </c>
    </row>
    <row r="33" spans="1:7" ht="22.05" customHeight="1" x14ac:dyDescent="0.3">
      <c r="A33" s="11">
        <v>30</v>
      </c>
      <c r="B33" s="12" t="s">
        <v>90</v>
      </c>
      <c r="C33" s="13" t="s">
        <v>91</v>
      </c>
      <c r="D33" s="11" t="s">
        <v>89</v>
      </c>
      <c r="E33" s="14">
        <v>13</v>
      </c>
      <c r="F33" s="14">
        <v>18</v>
      </c>
      <c r="G33" s="2" t="str">
        <f>HYPERLINK("https://www.zomato.com/careers", "Apply / Careers ↗")</f>
        <v>Apply / Careers ↗</v>
      </c>
    </row>
    <row r="34" spans="1:7" ht="22.05" customHeight="1" x14ac:dyDescent="0.3">
      <c r="A34" s="7">
        <v>31</v>
      </c>
      <c r="B34" s="8" t="s">
        <v>92</v>
      </c>
      <c r="C34" s="9" t="s">
        <v>93</v>
      </c>
      <c r="D34" s="7" t="s">
        <v>89</v>
      </c>
      <c r="E34" s="10">
        <v>13</v>
      </c>
      <c r="F34" s="10">
        <v>18</v>
      </c>
      <c r="G34" s="3" t="str">
        <f>HYPERLINK("https://careers.salesforce.com/en/jobs/", "Apply / Careers ↗")</f>
        <v>Apply / Careers ↗</v>
      </c>
    </row>
    <row r="35" spans="1:7" ht="22.05" customHeight="1" x14ac:dyDescent="0.3">
      <c r="A35" s="11">
        <v>32</v>
      </c>
      <c r="B35" s="12" t="s">
        <v>94</v>
      </c>
      <c r="C35" s="13" t="s">
        <v>95</v>
      </c>
      <c r="D35" s="11" t="s">
        <v>89</v>
      </c>
      <c r="E35" s="14">
        <v>13</v>
      </c>
      <c r="F35" s="14">
        <v>18</v>
      </c>
      <c r="G35" s="2" t="str">
        <f>HYPERLINK("https://careers.servicenow.com/", "Apply / Careers ↗")</f>
        <v>Apply / Careers ↗</v>
      </c>
    </row>
    <row r="36" spans="1:7" ht="22.05" customHeight="1" x14ac:dyDescent="0.3">
      <c r="A36" s="7">
        <v>33</v>
      </c>
      <c r="B36" s="8" t="s">
        <v>96</v>
      </c>
      <c r="C36" s="9" t="s">
        <v>97</v>
      </c>
      <c r="D36" s="7" t="s">
        <v>98</v>
      </c>
      <c r="E36" s="10">
        <v>13</v>
      </c>
      <c r="F36" s="10">
        <v>17.5</v>
      </c>
      <c r="G36" s="3" t="str">
        <f>HYPERLINK("https://jobs.paloaltonetworks.com/en/", "Apply / Careers ↗")</f>
        <v>Apply / Careers ↗</v>
      </c>
    </row>
    <row r="37" spans="1:7" ht="22.05" customHeight="1" x14ac:dyDescent="0.3">
      <c r="A37" s="11">
        <v>34</v>
      </c>
      <c r="B37" s="12" t="s">
        <v>99</v>
      </c>
      <c r="C37" s="13" t="s">
        <v>100</v>
      </c>
      <c r="D37" s="11" t="s">
        <v>101</v>
      </c>
      <c r="E37" s="14">
        <v>12.5</v>
      </c>
      <c r="F37" s="14">
        <v>17</v>
      </c>
      <c r="G37" s="2" t="str">
        <f>HYPERLINK("https://jobs.cisco.com/jobs/SearchJobs", "Apply / Careers ↗")</f>
        <v>Apply / Careers ↗</v>
      </c>
    </row>
    <row r="38" spans="1:7" ht="22.05" customHeight="1" x14ac:dyDescent="0.3">
      <c r="A38" s="7">
        <v>35</v>
      </c>
      <c r="B38" s="8" t="s">
        <v>102</v>
      </c>
      <c r="C38" s="9" t="s">
        <v>103</v>
      </c>
      <c r="D38" s="7" t="s">
        <v>104</v>
      </c>
      <c r="E38" s="10">
        <v>12.5</v>
      </c>
      <c r="F38" s="10">
        <v>18</v>
      </c>
      <c r="G38" s="3" t="str">
        <f>HYPERLINK("https://www.goldmansachs.com/careers/", "Apply / Careers ↗")</f>
        <v>Apply / Careers ↗</v>
      </c>
    </row>
    <row r="39" spans="1:7" ht="22.05" customHeight="1" x14ac:dyDescent="0.3">
      <c r="A39" s="11">
        <v>36</v>
      </c>
      <c r="B39" s="12" t="s">
        <v>105</v>
      </c>
      <c r="C39" s="13" t="s">
        <v>106</v>
      </c>
      <c r="D39" s="11" t="s">
        <v>107</v>
      </c>
      <c r="E39" s="14">
        <v>12</v>
      </c>
      <c r="F39" s="14">
        <v>17</v>
      </c>
      <c r="G39" s="2" t="str">
        <f>HYPERLINK("https://www.morganstanley.com/about-us/careers", "Apply / Careers ↗")</f>
        <v>Apply / Careers ↗</v>
      </c>
    </row>
    <row r="40" spans="1:7" ht="22.05" customHeight="1" x14ac:dyDescent="0.3">
      <c r="A40" s="7">
        <v>37</v>
      </c>
      <c r="B40" s="8" t="s">
        <v>108</v>
      </c>
      <c r="C40" s="9" t="s">
        <v>109</v>
      </c>
      <c r="D40" s="7" t="s">
        <v>110</v>
      </c>
      <c r="E40" s="10">
        <v>12</v>
      </c>
      <c r="F40" s="10">
        <v>16.5</v>
      </c>
      <c r="G40" s="3" t="str">
        <f>HYPERLINK("https://careers.jpmorgan.com/us/en/home", "Apply / Careers ↗")</f>
        <v>Apply / Careers ↗</v>
      </c>
    </row>
    <row r="41" spans="1:7" ht="22.05" customHeight="1" x14ac:dyDescent="0.3">
      <c r="A41" s="11">
        <v>38</v>
      </c>
      <c r="B41" s="12" t="s">
        <v>111</v>
      </c>
      <c r="C41" s="13" t="s">
        <v>112</v>
      </c>
      <c r="D41" s="11" t="s">
        <v>113</v>
      </c>
      <c r="E41" s="14">
        <v>11.5</v>
      </c>
      <c r="F41" s="14">
        <v>16</v>
      </c>
      <c r="G41" s="2" t="str">
        <f>HYPERLINK("https://search.jobs.barclays/", "Apply / Careers ↗")</f>
        <v>Apply / Careers ↗</v>
      </c>
    </row>
    <row r="42" spans="1:7" ht="22.05" customHeight="1" x14ac:dyDescent="0.3">
      <c r="A42" s="7">
        <v>39</v>
      </c>
      <c r="B42" s="8" t="s">
        <v>114</v>
      </c>
      <c r="C42" s="9" t="s">
        <v>115</v>
      </c>
      <c r="D42" s="7" t="s">
        <v>116</v>
      </c>
      <c r="E42" s="10">
        <v>11.5</v>
      </c>
      <c r="F42" s="10">
        <v>15.5</v>
      </c>
      <c r="G42" s="3" t="str">
        <f>HYPERLINK("https://aexp.eightfold.ai/careers", "Apply / Careers ↗")</f>
        <v>Apply / Careers ↗</v>
      </c>
    </row>
    <row r="43" spans="1:7" ht="22.05" customHeight="1" x14ac:dyDescent="0.3">
      <c r="A43" s="11">
        <v>40</v>
      </c>
      <c r="B43" s="12" t="s">
        <v>117</v>
      </c>
      <c r="C43" s="13" t="s">
        <v>118</v>
      </c>
      <c r="D43" s="11" t="s">
        <v>116</v>
      </c>
      <c r="E43" s="14">
        <v>11.5</v>
      </c>
      <c r="F43" s="14">
        <v>15.5</v>
      </c>
      <c r="G43" s="2" t="str">
        <f>HYPERLINK("https://paypal.eightfold.ai/careers", "Apply / Careers ↗")</f>
        <v>Apply / Careers ↗</v>
      </c>
    </row>
    <row r="44" spans="1:7" ht="22.05" customHeight="1" x14ac:dyDescent="0.3">
      <c r="A44" s="7">
        <v>41</v>
      </c>
      <c r="B44" s="8" t="s">
        <v>119</v>
      </c>
      <c r="C44" s="9" t="s">
        <v>120</v>
      </c>
      <c r="D44" s="7" t="s">
        <v>121</v>
      </c>
      <c r="E44" s="10">
        <v>11</v>
      </c>
      <c r="F44" s="10">
        <v>16</v>
      </c>
      <c r="G44" s="3" t="str">
        <f>HYPERLINK("https://www.meesho.io/jobs", "Apply / Careers ↗")</f>
        <v>Apply / Careers ↗</v>
      </c>
    </row>
    <row r="45" spans="1:7" ht="22.05" customHeight="1" x14ac:dyDescent="0.3">
      <c r="A45" s="11">
        <v>42</v>
      </c>
      <c r="B45" s="12" t="s">
        <v>122</v>
      </c>
      <c r="C45" s="13" t="s">
        <v>123</v>
      </c>
      <c r="D45" s="11" t="s">
        <v>124</v>
      </c>
      <c r="E45" s="14">
        <v>11</v>
      </c>
      <c r="F45" s="14">
        <v>15.5</v>
      </c>
      <c r="G45" s="2" t="str">
        <f>HYPERLINK("https://careers.urbancompany.com/", "Apply / Careers ↗")</f>
        <v>Apply / Careers ↗</v>
      </c>
    </row>
    <row r="46" spans="1:7" ht="22.05" customHeight="1" x14ac:dyDescent="0.3">
      <c r="A46" s="7">
        <v>43</v>
      </c>
      <c r="B46" s="8" t="s">
        <v>125</v>
      </c>
      <c r="C46" s="9" t="s">
        <v>126</v>
      </c>
      <c r="D46" s="7" t="s">
        <v>124</v>
      </c>
      <c r="E46" s="10">
        <v>11</v>
      </c>
      <c r="F46" s="10">
        <v>15.5</v>
      </c>
      <c r="G46" s="3" t="str">
        <f>HYPERLINK("https://groww.in/careers", "Apply / Careers ↗")</f>
        <v>Apply / Careers ↗</v>
      </c>
    </row>
    <row r="47" spans="1:7" ht="22.05" customHeight="1" x14ac:dyDescent="0.3">
      <c r="A47" s="11">
        <v>44</v>
      </c>
      <c r="B47" s="12" t="s">
        <v>127</v>
      </c>
      <c r="C47" s="13" t="s">
        <v>128</v>
      </c>
      <c r="D47" s="11" t="s">
        <v>129</v>
      </c>
      <c r="E47" s="14">
        <v>11</v>
      </c>
      <c r="F47" s="14">
        <v>16</v>
      </c>
      <c r="G47" s="2" t="str">
        <f>HYPERLINK("https://zerodha.com/careers", "Apply / Careers ↗")</f>
        <v>Apply / Careers ↗</v>
      </c>
    </row>
    <row r="48" spans="1:7" ht="22.05" customHeight="1" x14ac:dyDescent="0.3">
      <c r="A48" s="7">
        <v>45</v>
      </c>
      <c r="B48" s="8" t="s">
        <v>130</v>
      </c>
      <c r="C48" s="9" t="s">
        <v>131</v>
      </c>
      <c r="D48" s="7" t="s">
        <v>129</v>
      </c>
      <c r="E48" s="10">
        <v>10.5</v>
      </c>
      <c r="F48" s="10">
        <v>15</v>
      </c>
      <c r="G48" s="3" t="str">
        <f>HYPERLINK("https://www.olacabs.com/careers", "Apply / Careers ↗")</f>
        <v>Apply / Careers ↗</v>
      </c>
    </row>
    <row r="49" spans="1:7" ht="22.05" customHeight="1" x14ac:dyDescent="0.3">
      <c r="A49" s="11">
        <v>46</v>
      </c>
      <c r="B49" s="12" t="s">
        <v>132</v>
      </c>
      <c r="C49" s="13" t="s">
        <v>133</v>
      </c>
      <c r="D49" s="11" t="s">
        <v>129</v>
      </c>
      <c r="E49" s="14">
        <v>10.5</v>
      </c>
      <c r="F49" s="14">
        <v>15</v>
      </c>
      <c r="G49" s="2" t="str">
        <f>HYPERLINK("https://careers.makemytrip.com/", "Apply / Careers ↗")</f>
        <v>Apply / Careers ↗</v>
      </c>
    </row>
    <row r="50" spans="1:7" ht="22.05" customHeight="1" x14ac:dyDescent="0.3">
      <c r="A50" s="7">
        <v>47</v>
      </c>
      <c r="B50" s="8" t="s">
        <v>134</v>
      </c>
      <c r="C50" s="9" t="s">
        <v>135</v>
      </c>
      <c r="D50" s="7" t="s">
        <v>136</v>
      </c>
      <c r="E50" s="10">
        <v>10.5</v>
      </c>
      <c r="F50" s="10">
        <v>14.5</v>
      </c>
      <c r="G50" s="3" t="str">
        <f>HYPERLINK("https://www.nykaa.com/careers", "Apply / Careers ↗")</f>
        <v>Apply / Careers ↗</v>
      </c>
    </row>
    <row r="51" spans="1:7" ht="22.05" customHeight="1" x14ac:dyDescent="0.3">
      <c r="A51" s="11">
        <v>48</v>
      </c>
      <c r="B51" s="12" t="s">
        <v>137</v>
      </c>
      <c r="C51" s="13" t="s">
        <v>138</v>
      </c>
      <c r="D51" s="11" t="s">
        <v>129</v>
      </c>
      <c r="E51" s="14">
        <v>10.5</v>
      </c>
      <c r="F51" s="14">
        <v>15</v>
      </c>
      <c r="G51" s="2" t="str">
        <f>HYPERLINK("https://about.dream11.in/careers", "Apply / Careers ↗")</f>
        <v>Apply / Careers ↗</v>
      </c>
    </row>
    <row r="52" spans="1:7" ht="22.05" customHeight="1" x14ac:dyDescent="0.3">
      <c r="A52" s="7">
        <v>49</v>
      </c>
      <c r="B52" s="8" t="s">
        <v>139</v>
      </c>
      <c r="C52" s="9" t="s">
        <v>140</v>
      </c>
      <c r="D52" s="7" t="s">
        <v>141</v>
      </c>
      <c r="E52" s="10">
        <v>10.5</v>
      </c>
      <c r="F52" s="10">
        <v>15</v>
      </c>
      <c r="G52" s="3" t="str">
        <f>HYPERLINK("https://www.browserstack.com/careers", "Apply / Careers ↗")</f>
        <v>Apply / Careers ↗</v>
      </c>
    </row>
    <row r="53" spans="1:7" ht="22.05" customHeight="1" x14ac:dyDescent="0.3">
      <c r="A53" s="11">
        <v>50</v>
      </c>
      <c r="B53" s="12" t="s">
        <v>142</v>
      </c>
      <c r="C53" s="13" t="s">
        <v>143</v>
      </c>
      <c r="D53" s="11" t="s">
        <v>129</v>
      </c>
      <c r="E53" s="14">
        <v>10.5</v>
      </c>
      <c r="F53" s="14">
        <v>15</v>
      </c>
      <c r="G53" s="2" t="str">
        <f>HYPERLINK("https://www.postman.com/company/careers/", "Apply / Careers ↗")</f>
        <v>Apply / Careers ↗</v>
      </c>
    </row>
    <row r="54" spans="1:7" ht="22.05" customHeight="1" x14ac:dyDescent="0.3">
      <c r="A54" s="7">
        <v>51</v>
      </c>
      <c r="B54" s="8" t="s">
        <v>144</v>
      </c>
      <c r="C54" s="9" t="s">
        <v>145</v>
      </c>
      <c r="D54" s="7" t="s">
        <v>146</v>
      </c>
      <c r="E54" s="10">
        <v>10</v>
      </c>
      <c r="F54" s="10">
        <v>14.5</v>
      </c>
      <c r="G54" s="3" t="str">
        <f>HYPERLINK("https://www.freshworks.com/company/careers/", "Apply / Careers ↗")</f>
        <v>Apply / Careers ↗</v>
      </c>
    </row>
    <row r="55" spans="1:7" ht="22.05" customHeight="1" x14ac:dyDescent="0.3">
      <c r="A55" s="11">
        <v>52</v>
      </c>
      <c r="B55" s="12" t="s">
        <v>147</v>
      </c>
      <c r="C55" s="13" t="s">
        <v>148</v>
      </c>
      <c r="D55" s="11" t="s">
        <v>146</v>
      </c>
      <c r="E55" s="14">
        <v>10</v>
      </c>
      <c r="F55" s="14">
        <v>14.5</v>
      </c>
      <c r="G55" s="2" t="str">
        <f>HYPERLINK("https://www.inmobi.com/company/careers/", "Apply / Careers ↗")</f>
        <v>Apply / Careers ↗</v>
      </c>
    </row>
    <row r="56" spans="1:7" ht="22.05" customHeight="1" x14ac:dyDescent="0.3">
      <c r="A56" s="7">
        <v>53</v>
      </c>
      <c r="B56" s="8" t="s">
        <v>149</v>
      </c>
      <c r="C56" s="9" t="s">
        <v>150</v>
      </c>
      <c r="D56" s="7" t="s">
        <v>151</v>
      </c>
      <c r="E56" s="10">
        <v>9.5</v>
      </c>
      <c r="F56" s="10">
        <v>14</v>
      </c>
      <c r="G56" s="3" t="str">
        <f>HYPERLINK("https://jobs.lever.co/paytm", "Apply / Careers ↗")</f>
        <v>Apply / Careers ↗</v>
      </c>
    </row>
    <row r="57" spans="1:7" ht="22.05" customHeight="1" x14ac:dyDescent="0.3">
      <c r="A57" s="11">
        <v>54</v>
      </c>
      <c r="B57" s="12" t="s">
        <v>152</v>
      </c>
      <c r="C57" s="13" t="s">
        <v>153</v>
      </c>
      <c r="D57" s="11" t="s">
        <v>151</v>
      </c>
      <c r="E57" s="14">
        <v>9.5</v>
      </c>
      <c r="F57" s="14">
        <v>14</v>
      </c>
      <c r="G57" s="2" t="str">
        <f>HYPERLINK("https://www.policybazaar.com/careers/", "Apply / Careers ↗")</f>
        <v>Apply / Careers ↗</v>
      </c>
    </row>
    <row r="58" spans="1:7" ht="22.05" customHeight="1" x14ac:dyDescent="0.3">
      <c r="A58" s="7">
        <v>55</v>
      </c>
      <c r="B58" s="8" t="s">
        <v>154</v>
      </c>
      <c r="C58" s="9" t="s">
        <v>155</v>
      </c>
      <c r="D58" s="7" t="s">
        <v>151</v>
      </c>
      <c r="E58" s="10">
        <v>9.5</v>
      </c>
      <c r="F58" s="10">
        <v>14</v>
      </c>
      <c r="G58" s="3" t="str">
        <f>HYPERLINK("https://www.delhivery.com/careers/", "Apply / Careers ↗")</f>
        <v>Apply / Careers ↗</v>
      </c>
    </row>
    <row r="59" spans="1:7" ht="22.05" customHeight="1" x14ac:dyDescent="0.3">
      <c r="A59" s="11">
        <v>56</v>
      </c>
      <c r="B59" s="12" t="s">
        <v>156</v>
      </c>
      <c r="C59" s="13" t="s">
        <v>157</v>
      </c>
      <c r="D59" s="11" t="s">
        <v>151</v>
      </c>
      <c r="E59" s="14">
        <v>9.5</v>
      </c>
      <c r="F59" s="14">
        <v>14</v>
      </c>
      <c r="G59" s="2" t="str">
        <f>HYPERLINK("https://www.cars24.com/careers/", "Apply / Careers ↗")</f>
        <v>Apply / Careers ↗</v>
      </c>
    </row>
    <row r="60" spans="1:7" ht="22.05" customHeight="1" x14ac:dyDescent="0.3">
      <c r="A60" s="7">
        <v>57</v>
      </c>
      <c r="B60" s="8" t="s">
        <v>158</v>
      </c>
      <c r="C60" s="9" t="s">
        <v>159</v>
      </c>
      <c r="D60" s="7" t="s">
        <v>160</v>
      </c>
      <c r="E60" s="10">
        <v>9</v>
      </c>
      <c r="F60" s="10">
        <v>13.5</v>
      </c>
      <c r="G60" s="3" t="str">
        <f>HYPERLINK("https://www.spinny.com/careers/", "Apply / Careers ↗")</f>
        <v>Apply / Careers ↗</v>
      </c>
    </row>
    <row r="61" spans="1:7" ht="22.05" customHeight="1" x14ac:dyDescent="0.3">
      <c r="A61" s="11">
        <v>58</v>
      </c>
      <c r="B61" s="12" t="s">
        <v>161</v>
      </c>
      <c r="C61" s="13" t="s">
        <v>162</v>
      </c>
      <c r="D61" s="11" t="s">
        <v>151</v>
      </c>
      <c r="E61" s="14">
        <v>9.5</v>
      </c>
      <c r="F61" s="14">
        <v>14</v>
      </c>
      <c r="G61" s="2" t="str">
        <f>HYPERLINK("https://careers.blackrock.com/", "Apply / Careers ↗")</f>
        <v>Apply / Careers ↗</v>
      </c>
    </row>
    <row r="62" spans="1:7" ht="22.05" customHeight="1" x14ac:dyDescent="0.3">
      <c r="A62" s="7">
        <v>59</v>
      </c>
      <c r="B62" s="8" t="s">
        <v>163</v>
      </c>
      <c r="C62" s="9" t="s">
        <v>164</v>
      </c>
      <c r="D62" s="7" t="s">
        <v>160</v>
      </c>
      <c r="E62" s="10">
        <v>9</v>
      </c>
      <c r="F62" s="10">
        <v>13.5</v>
      </c>
      <c r="G62" s="3" t="str">
        <f>HYPERLINK("https://www.statestreet.com/careers.html", "Apply / Careers ↗")</f>
        <v>Apply / Careers ↗</v>
      </c>
    </row>
    <row r="63" spans="1:7" ht="22.05" customHeight="1" x14ac:dyDescent="0.3">
      <c r="A63" s="11">
        <v>60</v>
      </c>
      <c r="B63" s="12" t="s">
        <v>165</v>
      </c>
      <c r="C63" s="13" t="s">
        <v>166</v>
      </c>
      <c r="D63" s="11" t="s">
        <v>151</v>
      </c>
      <c r="E63" s="14">
        <v>9.5</v>
      </c>
      <c r="F63" s="14">
        <v>14</v>
      </c>
      <c r="G63" s="2" t="str">
        <f>HYPERLINK("https://jobs.citi.com/", "Apply / Careers ↗")</f>
        <v>Apply / Careers ↗</v>
      </c>
    </row>
    <row r="64" spans="1:7" ht="22.05" customHeight="1" x14ac:dyDescent="0.3">
      <c r="A64" s="7">
        <v>61</v>
      </c>
      <c r="B64" s="8" t="s">
        <v>167</v>
      </c>
      <c r="C64" s="9" t="s">
        <v>168</v>
      </c>
      <c r="D64" s="7" t="s">
        <v>160</v>
      </c>
      <c r="E64" s="10">
        <v>9</v>
      </c>
      <c r="F64" s="10">
        <v>13.5</v>
      </c>
      <c r="G64" s="3" t="str">
        <f>HYPERLINK("https://mycareer.hsbc.com/en_GB/external", "Apply / Careers ↗")</f>
        <v>Apply / Careers ↗</v>
      </c>
    </row>
    <row r="65" spans="1:7" ht="22.05" customHeight="1" x14ac:dyDescent="0.3">
      <c r="A65" s="11">
        <v>62</v>
      </c>
      <c r="B65" s="12" t="s">
        <v>169</v>
      </c>
      <c r="C65" s="13" t="s">
        <v>170</v>
      </c>
      <c r="D65" s="11" t="s">
        <v>171</v>
      </c>
      <c r="E65" s="14">
        <v>9</v>
      </c>
      <c r="F65" s="14">
        <v>13</v>
      </c>
      <c r="G65" s="2" t="str">
        <f>HYPERLINK("https://www.sc.com/en/careers/", "Apply / Careers ↗")</f>
        <v>Apply / Careers ↗</v>
      </c>
    </row>
    <row r="66" spans="1:7" ht="22.05" customHeight="1" x14ac:dyDescent="0.3">
      <c r="A66" s="7">
        <v>63</v>
      </c>
      <c r="B66" s="8" t="s">
        <v>172</v>
      </c>
      <c r="C66" s="9" t="s">
        <v>173</v>
      </c>
      <c r="D66" s="7" t="s">
        <v>171</v>
      </c>
      <c r="E66" s="10">
        <v>9</v>
      </c>
      <c r="F66" s="10">
        <v>13</v>
      </c>
      <c r="G66" s="3" t="str">
        <f>HYPERLINK("https://careers.db.com/", "Apply / Careers ↗")</f>
        <v>Apply / Careers ↗</v>
      </c>
    </row>
    <row r="67" spans="1:7" ht="22.05" customHeight="1" x14ac:dyDescent="0.3">
      <c r="A67" s="11">
        <v>64</v>
      </c>
      <c r="B67" s="12" t="s">
        <v>174</v>
      </c>
      <c r="C67" s="13" t="s">
        <v>175</v>
      </c>
      <c r="D67" s="11" t="s">
        <v>171</v>
      </c>
      <c r="E67" s="14">
        <v>9</v>
      </c>
      <c r="F67" s="14">
        <v>13</v>
      </c>
      <c r="G67" s="2" t="str">
        <f>HYPERLINK("https://jobs.ubs.com/", "Apply / Careers ↗")</f>
        <v>Apply / Careers ↗</v>
      </c>
    </row>
    <row r="68" spans="1:7" ht="22.05" customHeight="1" x14ac:dyDescent="0.3">
      <c r="A68" s="7">
        <v>65</v>
      </c>
      <c r="B68" s="8" t="s">
        <v>176</v>
      </c>
      <c r="C68" s="9" t="s">
        <v>177</v>
      </c>
      <c r="D68" s="7" t="s">
        <v>178</v>
      </c>
      <c r="E68" s="10">
        <v>8.8000000000000007</v>
      </c>
      <c r="F68" s="10">
        <v>12.8</v>
      </c>
      <c r="G68" s="3" t="str">
        <f>HYPERLINK("https://group.bnpparibas/en/careers", "Apply / Careers ↗")</f>
        <v>Apply / Careers ↗</v>
      </c>
    </row>
    <row r="69" spans="1:7" ht="22.05" customHeight="1" x14ac:dyDescent="0.3">
      <c r="A69" s="11">
        <v>66</v>
      </c>
      <c r="B69" s="12" t="s">
        <v>179</v>
      </c>
      <c r="C69" s="13" t="s">
        <v>180</v>
      </c>
      <c r="D69" s="11" t="s">
        <v>171</v>
      </c>
      <c r="E69" s="14">
        <v>9</v>
      </c>
      <c r="F69" s="14">
        <v>13</v>
      </c>
      <c r="G69" s="2" t="str">
        <f>HYPERLINK("https://www.wellsfargojobs.com/", "Apply / Careers ↗")</f>
        <v>Apply / Careers ↗</v>
      </c>
    </row>
    <row r="70" spans="1:7" ht="22.05" customHeight="1" x14ac:dyDescent="0.3">
      <c r="A70" s="7">
        <v>67</v>
      </c>
      <c r="B70" s="8" t="s">
        <v>181</v>
      </c>
      <c r="C70" s="9" t="s">
        <v>182</v>
      </c>
      <c r="D70" s="7" t="s">
        <v>171</v>
      </c>
      <c r="E70" s="10">
        <v>9</v>
      </c>
      <c r="F70" s="10">
        <v>13</v>
      </c>
      <c r="G70" s="3" t="str">
        <f>HYPERLINK("https://business.bofa.com/en-us/content/careers.html", "Apply / Careers ↗")</f>
        <v>Apply / Careers ↗</v>
      </c>
    </row>
    <row r="71" spans="1:7" ht="22.05" customHeight="1" x14ac:dyDescent="0.3">
      <c r="A71" s="11">
        <v>68</v>
      </c>
      <c r="B71" s="12" t="s">
        <v>183</v>
      </c>
      <c r="C71" s="13" t="s">
        <v>184</v>
      </c>
      <c r="D71" s="11" t="s">
        <v>151</v>
      </c>
      <c r="E71" s="14">
        <v>9.5</v>
      </c>
      <c r="F71" s="14">
        <v>14</v>
      </c>
      <c r="G71" s="2" t="str">
        <f>HYPERLINK("https://mastercard.eightfold.ai/careers", "Apply / Careers ↗")</f>
        <v>Apply / Careers ↗</v>
      </c>
    </row>
    <row r="72" spans="1:7" ht="22.05" customHeight="1" x14ac:dyDescent="0.3">
      <c r="A72" s="7">
        <v>69</v>
      </c>
      <c r="B72" s="8" t="s">
        <v>185</v>
      </c>
      <c r="C72" s="9" t="s">
        <v>186</v>
      </c>
      <c r="D72" s="7" t="s">
        <v>151</v>
      </c>
      <c r="E72" s="10">
        <v>9.5</v>
      </c>
      <c r="F72" s="10">
        <v>14</v>
      </c>
      <c r="G72" s="3" t="str">
        <f>HYPERLINK("https://www.visa.com.sg/about-visa/careers.html", "Apply / Careers ↗")</f>
        <v>Apply / Careers ↗</v>
      </c>
    </row>
    <row r="73" spans="1:7" ht="22.05" customHeight="1" x14ac:dyDescent="0.3">
      <c r="A73" s="11">
        <v>70</v>
      </c>
      <c r="B73" s="12" t="s">
        <v>187</v>
      </c>
      <c r="C73" s="13" t="s">
        <v>188</v>
      </c>
      <c r="D73" s="11" t="s">
        <v>171</v>
      </c>
      <c r="E73" s="14">
        <v>9</v>
      </c>
      <c r="F73" s="14">
        <v>13</v>
      </c>
      <c r="G73" s="2" t="str">
        <f>HYPERLINK("https://jobs.fidelity.com/", "Apply / Careers ↗")</f>
        <v>Apply / Careers ↗</v>
      </c>
    </row>
    <row r="74" spans="1:7" ht="22.05" customHeight="1" x14ac:dyDescent="0.3">
      <c r="A74" s="7">
        <v>71</v>
      </c>
      <c r="B74" s="8" t="s">
        <v>189</v>
      </c>
      <c r="C74" s="9" t="s">
        <v>190</v>
      </c>
      <c r="D74" s="7" t="s">
        <v>178</v>
      </c>
      <c r="E74" s="10">
        <v>8.8000000000000007</v>
      </c>
      <c r="F74" s="10">
        <v>12.8</v>
      </c>
      <c r="G74" s="3" t="str">
        <f>HYPERLINK("https://india.target.com/careers/", "Apply / Careers ↗")</f>
        <v>Apply / Careers ↗</v>
      </c>
    </row>
    <row r="75" spans="1:7" ht="22.05" customHeight="1" x14ac:dyDescent="0.3">
      <c r="A75" s="11">
        <v>72</v>
      </c>
      <c r="B75" s="12" t="s">
        <v>191</v>
      </c>
      <c r="C75" s="13" t="s">
        <v>192</v>
      </c>
      <c r="D75" s="11" t="s">
        <v>151</v>
      </c>
      <c r="E75" s="14">
        <v>9.5</v>
      </c>
      <c r="F75" s="14">
        <v>14</v>
      </c>
      <c r="G75" s="2" t="str">
        <f>HYPERLINK("https://careers.walmart.com/", "Apply / Careers ↗")</f>
        <v>Apply / Careers ↗</v>
      </c>
    </row>
    <row r="76" spans="1:7" ht="22.05" customHeight="1" x14ac:dyDescent="0.3">
      <c r="A76" s="7">
        <v>73</v>
      </c>
      <c r="B76" s="8" t="s">
        <v>193</v>
      </c>
      <c r="C76" s="9" t="s">
        <v>194</v>
      </c>
      <c r="D76" s="7" t="s">
        <v>178</v>
      </c>
      <c r="E76" s="10">
        <v>8.8000000000000007</v>
      </c>
      <c r="F76" s="10">
        <v>12.8</v>
      </c>
      <c r="G76" s="3" t="str">
        <f>HYPERLINK("https://www.tesco-careers.com/bengaluru/", "Apply / Careers ↗")</f>
        <v>Apply / Careers ↗</v>
      </c>
    </row>
    <row r="77" spans="1:7" ht="22.05" customHeight="1" x14ac:dyDescent="0.3">
      <c r="A77" s="11">
        <v>74</v>
      </c>
      <c r="B77" s="12" t="s">
        <v>195</v>
      </c>
      <c r="C77" s="13" t="s">
        <v>196</v>
      </c>
      <c r="D77" s="11" t="s">
        <v>178</v>
      </c>
      <c r="E77" s="14">
        <v>8.8000000000000007</v>
      </c>
      <c r="F77" s="14">
        <v>12.8</v>
      </c>
      <c r="G77" s="2" t="str">
        <f>HYPERLINK("https://careers.homedepot.com/", "Apply / Careers ↗")</f>
        <v>Apply / Careers ↗</v>
      </c>
    </row>
    <row r="78" spans="1:7" ht="22.05" customHeight="1" x14ac:dyDescent="0.3">
      <c r="A78" s="7">
        <v>75</v>
      </c>
      <c r="B78" s="8" t="s">
        <v>197</v>
      </c>
      <c r="C78" s="9" t="s">
        <v>198</v>
      </c>
      <c r="D78" s="7" t="s">
        <v>178</v>
      </c>
      <c r="E78" s="10">
        <v>8.8000000000000007</v>
      </c>
      <c r="F78" s="10">
        <v>12.8</v>
      </c>
      <c r="G78" s="3" t="str">
        <f>HYPERLINK("https://jobs.lowes.com/lowes-india", "Apply / Careers ↗")</f>
        <v>Apply / Careers ↗</v>
      </c>
    </row>
    <row r="79" spans="1:7" ht="22.05" customHeight="1" x14ac:dyDescent="0.3">
      <c r="A79" s="11">
        <v>76</v>
      </c>
      <c r="B79" s="12" t="s">
        <v>199</v>
      </c>
      <c r="C79" s="13" t="s">
        <v>200</v>
      </c>
      <c r="D79" s="11" t="s">
        <v>113</v>
      </c>
      <c r="E79" s="14">
        <v>11</v>
      </c>
      <c r="F79" s="14">
        <v>16</v>
      </c>
      <c r="G79" s="2" t="str">
        <f>HYPERLINK("https://www.amazon.jobs/en/teams/aws", "Apply / Careers ↗")</f>
        <v>Apply / Careers ↗</v>
      </c>
    </row>
    <row r="80" spans="1:7" ht="22.05" customHeight="1" x14ac:dyDescent="0.3">
      <c r="A80" s="7">
        <v>77</v>
      </c>
      <c r="B80" s="8" t="s">
        <v>201</v>
      </c>
      <c r="C80" s="9" t="s">
        <v>202</v>
      </c>
      <c r="D80" s="7" t="s">
        <v>171</v>
      </c>
      <c r="E80" s="10">
        <v>9</v>
      </c>
      <c r="F80" s="10">
        <v>13</v>
      </c>
      <c r="G80" s="3" t="str">
        <f>HYPERLINK("https://www.oracle.com/corporate/careers/", "Apply / Careers ↗")</f>
        <v>Apply / Careers ↗</v>
      </c>
    </row>
    <row r="81" spans="1:7" ht="22.05" customHeight="1" x14ac:dyDescent="0.3">
      <c r="A81" s="11">
        <v>78</v>
      </c>
      <c r="B81" s="12" t="s">
        <v>203</v>
      </c>
      <c r="C81" s="13" t="s">
        <v>204</v>
      </c>
      <c r="D81" s="11" t="s">
        <v>171</v>
      </c>
      <c r="E81" s="14">
        <v>9</v>
      </c>
      <c r="F81" s="14">
        <v>13</v>
      </c>
      <c r="G81" s="2" t="str">
        <f>HYPERLINK("https://jobs.sap.com/", "Apply / Careers ↗")</f>
        <v>Apply / Careers ↗</v>
      </c>
    </row>
    <row r="82" spans="1:7" ht="22.05" customHeight="1" x14ac:dyDescent="0.3">
      <c r="A82" s="7">
        <v>79</v>
      </c>
      <c r="B82" s="8" t="s">
        <v>205</v>
      </c>
      <c r="C82" s="9" t="s">
        <v>206</v>
      </c>
      <c r="D82" s="7" t="s">
        <v>151</v>
      </c>
      <c r="E82" s="10">
        <v>9.5</v>
      </c>
      <c r="F82" s="10">
        <v>14</v>
      </c>
      <c r="G82" s="3" t="str">
        <f>HYPERLINK("https://careers.broadcom.com/", "Apply / Careers ↗")</f>
        <v>Apply / Careers ↗</v>
      </c>
    </row>
    <row r="83" spans="1:7" ht="22.05" customHeight="1" x14ac:dyDescent="0.3">
      <c r="A83" s="11">
        <v>80</v>
      </c>
      <c r="B83" s="12" t="s">
        <v>207</v>
      </c>
      <c r="C83" s="13" t="s">
        <v>208</v>
      </c>
      <c r="D83" s="11" t="s">
        <v>209</v>
      </c>
      <c r="E83" s="14">
        <v>8.8000000000000007</v>
      </c>
      <c r="F83" s="14">
        <v>12.5</v>
      </c>
      <c r="G83" s="2" t="str">
        <f>HYPERLINK("https://jobs.dell.com/", "Apply / Careers ↗")</f>
        <v>Apply / Careers ↗</v>
      </c>
    </row>
    <row r="84" spans="1:7" ht="22.05" customHeight="1" x14ac:dyDescent="0.3">
      <c r="A84" s="7">
        <v>81</v>
      </c>
      <c r="B84" s="8" t="s">
        <v>210</v>
      </c>
      <c r="C84" s="9" t="s">
        <v>211</v>
      </c>
      <c r="D84" s="7" t="s">
        <v>209</v>
      </c>
      <c r="E84" s="10">
        <v>8.8000000000000007</v>
      </c>
      <c r="F84" s="10">
        <v>12.5</v>
      </c>
      <c r="G84" s="3" t="str">
        <f>HYPERLINK("https://careers.hpe.com/", "Apply / Careers ↗")</f>
        <v>Apply / Careers ↗</v>
      </c>
    </row>
    <row r="85" spans="1:7" ht="22.05" customHeight="1" x14ac:dyDescent="0.3">
      <c r="A85" s="11">
        <v>82</v>
      </c>
      <c r="B85" s="12" t="s">
        <v>212</v>
      </c>
      <c r="C85" s="13" t="s">
        <v>213</v>
      </c>
      <c r="D85" s="11" t="s">
        <v>171</v>
      </c>
      <c r="E85" s="14">
        <v>9</v>
      </c>
      <c r="F85" s="14">
        <v>13</v>
      </c>
      <c r="G85" s="2" t="str">
        <f>HYPERLINK("https://jobs.intel.com/", "Apply / Careers ↗")</f>
        <v>Apply / Careers ↗</v>
      </c>
    </row>
    <row r="86" spans="1:7" ht="22.05" customHeight="1" x14ac:dyDescent="0.3">
      <c r="A86" s="7">
        <v>83</v>
      </c>
      <c r="B86" s="8" t="s">
        <v>214</v>
      </c>
      <c r="C86" s="9" t="s">
        <v>215</v>
      </c>
      <c r="D86" s="7" t="s">
        <v>171</v>
      </c>
      <c r="E86" s="10">
        <v>9</v>
      </c>
      <c r="F86" s="10">
        <v>13</v>
      </c>
      <c r="G86" s="3" t="str">
        <f>HYPERLINK("https://www.qualcomm.com/company/careers", "Apply / Careers ↗")</f>
        <v>Apply / Careers ↗</v>
      </c>
    </row>
    <row r="87" spans="1:7" ht="22.05" customHeight="1" x14ac:dyDescent="0.3">
      <c r="A87" s="11">
        <v>84</v>
      </c>
      <c r="B87" s="12" t="s">
        <v>216</v>
      </c>
      <c r="C87" s="13" t="s">
        <v>217</v>
      </c>
      <c r="D87" s="11" t="s">
        <v>218</v>
      </c>
      <c r="E87" s="14">
        <v>11</v>
      </c>
      <c r="F87" s="14">
        <v>16.5</v>
      </c>
      <c r="G87" s="2" t="str">
        <f>HYPERLINK("https://www.nvidia.com/en-us/about-nvidia/careers/", "Apply / Careers ↗")</f>
        <v>Apply / Careers ↗</v>
      </c>
    </row>
    <row r="88" spans="1:7" ht="22.05" customHeight="1" x14ac:dyDescent="0.3">
      <c r="A88" s="7">
        <v>85</v>
      </c>
      <c r="B88" s="8" t="s">
        <v>219</v>
      </c>
      <c r="C88" s="9" t="s">
        <v>220</v>
      </c>
      <c r="D88" s="7" t="s">
        <v>178</v>
      </c>
      <c r="E88" s="10">
        <v>8.8000000000000007</v>
      </c>
      <c r="F88" s="10">
        <v>12.8</v>
      </c>
      <c r="G88" s="3" t="str">
        <f>HYPERLINK("https://careers.ti.com/", "Apply / Careers ↗")</f>
        <v>Apply / Careers ↗</v>
      </c>
    </row>
    <row r="89" spans="1:7" ht="22.05" customHeight="1" x14ac:dyDescent="0.3">
      <c r="A89" s="11">
        <v>86</v>
      </c>
      <c r="B89" s="12" t="s">
        <v>221</v>
      </c>
      <c r="C89" s="13" t="s">
        <v>222</v>
      </c>
      <c r="D89" s="11" t="s">
        <v>223</v>
      </c>
      <c r="E89" s="14">
        <v>8.5</v>
      </c>
      <c r="F89" s="14">
        <v>12.2</v>
      </c>
      <c r="G89" s="2" t="str">
        <f>HYPERLINK("https://appliedmaterials.wd1.myworkdayjobs.com/Applied_Materials_Careers", "Apply / Careers ↗")</f>
        <v>Apply / Careers ↗</v>
      </c>
    </row>
    <row r="90" spans="1:7" ht="22.05" customHeight="1" x14ac:dyDescent="0.3">
      <c r="A90" s="7">
        <v>87</v>
      </c>
      <c r="B90" s="8" t="s">
        <v>224</v>
      </c>
      <c r="C90" s="9" t="s">
        <v>225</v>
      </c>
      <c r="D90" s="7" t="s">
        <v>171</v>
      </c>
      <c r="E90" s="10">
        <v>9</v>
      </c>
      <c r="F90" s="10">
        <v>13</v>
      </c>
      <c r="G90" s="3" t="str">
        <f>HYPERLINK("https://www.asml.com/en/careers", "Apply / Careers ↗")</f>
        <v>Apply / Careers ↗</v>
      </c>
    </row>
    <row r="91" spans="1:7" ht="22.05" customHeight="1" x14ac:dyDescent="0.3">
      <c r="A91" s="11">
        <v>88</v>
      </c>
      <c r="B91" s="12" t="s">
        <v>226</v>
      </c>
      <c r="C91" s="13" t="s">
        <v>227</v>
      </c>
      <c r="D91" s="11" t="s">
        <v>228</v>
      </c>
      <c r="E91" s="14">
        <v>8.5</v>
      </c>
      <c r="F91" s="14">
        <v>12</v>
      </c>
      <c r="G91" s="2" t="str">
        <f>HYPERLINK("https://www.synopsys.com/careers.html", "Apply / Careers ↗")</f>
        <v>Apply / Careers ↗</v>
      </c>
    </row>
    <row r="92" spans="1:7" ht="22.05" customHeight="1" x14ac:dyDescent="0.3">
      <c r="A92" s="7">
        <v>89</v>
      </c>
      <c r="B92" s="8" t="s">
        <v>229</v>
      </c>
      <c r="C92" s="9" t="s">
        <v>230</v>
      </c>
      <c r="D92" s="7" t="s">
        <v>228</v>
      </c>
      <c r="E92" s="10">
        <v>8.5</v>
      </c>
      <c r="F92" s="10">
        <v>12</v>
      </c>
      <c r="G92" s="3" t="str">
        <f>HYPERLINK("https://www.cadence.com/en_US/home/company/careers.html", "Apply / Careers ↗")</f>
        <v>Apply / Careers ↗</v>
      </c>
    </row>
    <row r="93" spans="1:7" ht="22.05" customHeight="1" x14ac:dyDescent="0.3">
      <c r="A93" s="11">
        <v>90</v>
      </c>
      <c r="B93" s="12" t="s">
        <v>231</v>
      </c>
      <c r="C93" s="13" t="s">
        <v>232</v>
      </c>
      <c r="D93" s="11" t="s">
        <v>233</v>
      </c>
      <c r="E93" s="14">
        <v>8</v>
      </c>
      <c r="F93" s="14">
        <v>12</v>
      </c>
      <c r="G93" s="2" t="str">
        <f>HYPERLINK("https://fractal.ai/careers/", "Apply / Careers ↗")</f>
        <v>Apply / Careers ↗</v>
      </c>
    </row>
    <row r="94" spans="1:7" ht="22.05" customHeight="1" x14ac:dyDescent="0.3">
      <c r="A94" s="7">
        <v>91</v>
      </c>
      <c r="B94" s="8" t="s">
        <v>234</v>
      </c>
      <c r="C94" s="9" t="s">
        <v>235</v>
      </c>
      <c r="D94" s="7" t="s">
        <v>236</v>
      </c>
      <c r="E94" s="10">
        <v>7.5</v>
      </c>
      <c r="F94" s="10">
        <v>11.2</v>
      </c>
      <c r="G94" s="3" t="str">
        <f>HYPERLINK("https://www.mu-sigma.com/careers/", "Apply / Careers ↗")</f>
        <v>Apply / Careers ↗</v>
      </c>
    </row>
    <row r="95" spans="1:7" ht="22.05" customHeight="1" x14ac:dyDescent="0.3">
      <c r="A95" s="11">
        <v>92</v>
      </c>
      <c r="B95" s="12" t="s">
        <v>237</v>
      </c>
      <c r="C95" s="13" t="s">
        <v>238</v>
      </c>
      <c r="D95" s="11" t="s">
        <v>233</v>
      </c>
      <c r="E95" s="14">
        <v>8</v>
      </c>
      <c r="F95" s="14">
        <v>12</v>
      </c>
      <c r="G95" s="2" t="str">
        <f>HYPERLINK("https://www.tigeranalytics.com/careers/", "Apply / Careers ↗")</f>
        <v>Apply / Careers ↗</v>
      </c>
    </row>
    <row r="96" spans="1:7" ht="22.05" customHeight="1" x14ac:dyDescent="0.3">
      <c r="A96" s="7">
        <v>93</v>
      </c>
      <c r="B96" s="8" t="s">
        <v>239</v>
      </c>
      <c r="C96" s="9" t="s">
        <v>240</v>
      </c>
      <c r="D96" s="7" t="s">
        <v>241</v>
      </c>
      <c r="E96" s="10">
        <v>7.5</v>
      </c>
      <c r="F96" s="10">
        <v>11.5</v>
      </c>
      <c r="G96" s="3" t="str">
        <f>HYPERLINK("https://www.latentview.com/careers/", "Apply / Careers ↗")</f>
        <v>Apply / Careers ↗</v>
      </c>
    </row>
    <row r="97" spans="1:7" ht="22.05" customHeight="1" x14ac:dyDescent="0.3">
      <c r="A97" s="11">
        <v>94</v>
      </c>
      <c r="B97" s="12" t="s">
        <v>242</v>
      </c>
      <c r="C97" s="13" t="s">
        <v>243</v>
      </c>
      <c r="D97" s="11" t="s">
        <v>236</v>
      </c>
      <c r="E97" s="14">
        <v>7.5</v>
      </c>
      <c r="F97" s="14">
        <v>11</v>
      </c>
      <c r="G97" s="2" t="str">
        <f>HYPERLINK("https://www.infogain.com/careers/", "Apply / Careers ↗")</f>
        <v>Apply / Careers ↗</v>
      </c>
    </row>
    <row r="98" spans="1:7" ht="22.05" customHeight="1" x14ac:dyDescent="0.3">
      <c r="A98" s="7">
        <v>95</v>
      </c>
      <c r="B98" s="8" t="s">
        <v>244</v>
      </c>
      <c r="C98" s="9" t="s">
        <v>245</v>
      </c>
      <c r="D98" s="7" t="s">
        <v>223</v>
      </c>
      <c r="E98" s="10">
        <v>8.5</v>
      </c>
      <c r="F98" s="10">
        <v>12.5</v>
      </c>
      <c r="G98" s="3" t="str">
        <f>HYPERLINK("https://jobs.zs.com/", "Apply / Careers ↗")</f>
        <v>Apply / Careers ↗</v>
      </c>
    </row>
    <row r="99" spans="1:7" ht="22.05" customHeight="1" x14ac:dyDescent="0.3">
      <c r="A99" s="11">
        <v>96</v>
      </c>
      <c r="B99" s="12" t="s">
        <v>246</v>
      </c>
      <c r="C99" s="13" t="s">
        <v>247</v>
      </c>
      <c r="D99" s="11" t="s">
        <v>236</v>
      </c>
      <c r="E99" s="14">
        <v>7.5</v>
      </c>
      <c r="F99" s="14">
        <v>11.2</v>
      </c>
      <c r="G99" s="2" t="str">
        <f>HYPERLINK("https://www.exlservice.com/careers", "Apply / Careers ↗")</f>
        <v>Apply / Careers ↗</v>
      </c>
    </row>
    <row r="100" spans="1:7" ht="22.05" customHeight="1" x14ac:dyDescent="0.3">
      <c r="A100" s="7">
        <v>97</v>
      </c>
      <c r="B100" s="8" t="s">
        <v>248</v>
      </c>
      <c r="C100" s="9" t="s">
        <v>249</v>
      </c>
      <c r="D100" s="7" t="s">
        <v>250</v>
      </c>
      <c r="E100" s="10">
        <v>7.2</v>
      </c>
      <c r="F100" s="10">
        <v>11</v>
      </c>
      <c r="G100" s="3" t="str">
        <f>HYPERLINK("https://www.genpact.com/careers", "Apply / Careers ↗")</f>
        <v>Apply / Careers ↗</v>
      </c>
    </row>
    <row r="101" spans="1:7" ht="22.05" customHeight="1" x14ac:dyDescent="0.3">
      <c r="A101" s="11">
        <v>98</v>
      </c>
      <c r="B101" s="12" t="s">
        <v>251</v>
      </c>
      <c r="C101" s="13" t="s">
        <v>252</v>
      </c>
      <c r="D101" s="11" t="s">
        <v>250</v>
      </c>
      <c r="E101" s="14">
        <v>7.2</v>
      </c>
      <c r="F101" s="14">
        <v>11</v>
      </c>
      <c r="G101" s="2" t="str">
        <f>HYPERLINK("https://www.wns.com/careers", "Apply / Careers ↗")</f>
        <v>Apply / Careers ↗</v>
      </c>
    </row>
    <row r="102" spans="1:7" ht="22.05" customHeight="1" x14ac:dyDescent="0.3">
      <c r="A102" s="7">
        <v>99</v>
      </c>
      <c r="B102" s="8" t="s">
        <v>253</v>
      </c>
      <c r="C102" s="9" t="s">
        <v>254</v>
      </c>
      <c r="D102" s="7" t="s">
        <v>255</v>
      </c>
      <c r="E102" s="10">
        <v>7</v>
      </c>
      <c r="F102" s="10">
        <v>10.8</v>
      </c>
      <c r="G102" s="3" t="str">
        <f>HYPERLINK("https://eclerx.com/careers/", "Apply / Careers ↗")</f>
        <v>Apply / Careers ↗</v>
      </c>
    </row>
    <row r="103" spans="1:7" ht="22.05" customHeight="1" x14ac:dyDescent="0.3">
      <c r="A103" s="11">
        <v>100</v>
      </c>
      <c r="B103" s="12" t="s">
        <v>256</v>
      </c>
      <c r="C103" s="13" t="s">
        <v>257</v>
      </c>
      <c r="D103" s="11" t="s">
        <v>255</v>
      </c>
      <c r="E103" s="14">
        <v>7</v>
      </c>
      <c r="F103" s="14">
        <v>10.8</v>
      </c>
      <c r="G103" s="2" t="str">
        <f>HYPERLINK("https://affine.ai/careers/", "Apply / Careers ↗")</f>
        <v>Apply / Careers ↗</v>
      </c>
    </row>
    <row r="104" spans="1:7" ht="22.05" customHeight="1" x14ac:dyDescent="0.3">
      <c r="A104" s="7">
        <v>101</v>
      </c>
      <c r="B104" s="8" t="s">
        <v>258</v>
      </c>
      <c r="C104" s="9" t="s">
        <v>259</v>
      </c>
      <c r="D104" s="7" t="s">
        <v>260</v>
      </c>
      <c r="E104" s="10">
        <v>7</v>
      </c>
      <c r="F104" s="10">
        <v>10.5</v>
      </c>
      <c r="G104" s="3" t="str">
        <f>HYPERLINK("https://gramener.com/careers/", "Apply / Careers ↗")</f>
        <v>Apply / Careers ↗</v>
      </c>
    </row>
    <row r="105" spans="1:7" ht="22.05" customHeight="1" x14ac:dyDescent="0.3">
      <c r="A105" s="11">
        <v>102</v>
      </c>
      <c r="B105" s="12" t="s">
        <v>261</v>
      </c>
      <c r="C105" s="13" t="s">
        <v>262</v>
      </c>
      <c r="D105" s="11" t="s">
        <v>263</v>
      </c>
      <c r="E105" s="14">
        <v>8</v>
      </c>
      <c r="F105" s="14">
        <v>12</v>
      </c>
      <c r="G105" s="2" t="str">
        <f>HYPERLINK("https://mathco.com/careers/", "Apply / Careers ↗")</f>
        <v>Apply / Careers ↗</v>
      </c>
    </row>
    <row r="106" spans="1:7" ht="22.05" customHeight="1" x14ac:dyDescent="0.3">
      <c r="A106" s="7">
        <v>103</v>
      </c>
      <c r="B106" s="8" t="s">
        <v>264</v>
      </c>
      <c r="C106" s="9" t="s">
        <v>265</v>
      </c>
      <c r="D106" s="7" t="s">
        <v>263</v>
      </c>
      <c r="E106" s="10">
        <v>8</v>
      </c>
      <c r="F106" s="10">
        <v>12</v>
      </c>
      <c r="G106" s="3" t="str">
        <f>HYPERLINK("https://www.tredence.com/careers", "Apply / Careers ↗")</f>
        <v>Apply / Careers ↗</v>
      </c>
    </row>
    <row r="107" spans="1:7" ht="22.05" customHeight="1" x14ac:dyDescent="0.3">
      <c r="A107" s="11">
        <v>104</v>
      </c>
      <c r="B107" s="12" t="s">
        <v>266</v>
      </c>
      <c r="C107" s="13" t="s">
        <v>267</v>
      </c>
      <c r="D107" s="11" t="s">
        <v>263</v>
      </c>
      <c r="E107" s="14">
        <v>8</v>
      </c>
      <c r="F107" s="14">
        <v>12</v>
      </c>
      <c r="G107" s="2" t="str">
        <f>HYPERLINK("https://www.axtria.com/careers/", "Apply / Careers ↗")</f>
        <v>Apply / Careers ↗</v>
      </c>
    </row>
    <row r="108" spans="1:7" ht="22.05" customHeight="1" x14ac:dyDescent="0.3">
      <c r="A108" s="7">
        <v>105</v>
      </c>
      <c r="B108" s="8" t="s">
        <v>268</v>
      </c>
      <c r="C108" s="9" t="s">
        <v>269</v>
      </c>
      <c r="D108" s="7" t="s">
        <v>228</v>
      </c>
      <c r="E108" s="10">
        <v>8.5</v>
      </c>
      <c r="F108" s="10">
        <v>12.2</v>
      </c>
      <c r="G108" s="3" t="str">
        <f>HYPERLINK("https://blueyonder.com/careers", "Apply / Careers ↗")</f>
        <v>Apply / Careers ↗</v>
      </c>
    </row>
    <row r="109" spans="1:7" ht="22.05" customHeight="1" x14ac:dyDescent="0.3">
      <c r="A109" s="11">
        <v>106</v>
      </c>
      <c r="B109" s="12" t="s">
        <v>270</v>
      </c>
      <c r="C109" s="13" t="s">
        <v>271</v>
      </c>
      <c r="D109" s="11" t="s">
        <v>263</v>
      </c>
      <c r="E109" s="14">
        <v>8</v>
      </c>
      <c r="F109" s="14">
        <v>12</v>
      </c>
      <c r="G109" s="2" t="str">
        <f>HYPERLINK("https://www.manh.com/en-in/careers", "Apply / Careers ↗")</f>
        <v>Apply / Careers ↗</v>
      </c>
    </row>
    <row r="110" spans="1:7" ht="22.05" customHeight="1" x14ac:dyDescent="0.3">
      <c r="A110" s="7">
        <v>107</v>
      </c>
      <c r="B110" s="8" t="s">
        <v>272</v>
      </c>
      <c r="C110" s="9" t="s">
        <v>273</v>
      </c>
      <c r="D110" s="7" t="s">
        <v>274</v>
      </c>
      <c r="E110" s="10">
        <v>8</v>
      </c>
      <c r="F110" s="10">
        <v>11.8</v>
      </c>
      <c r="G110" s="3" t="str">
        <f>HYPERLINK("https://www.factset.com/careers", "Apply / Careers ↗")</f>
        <v>Apply / Careers ↗</v>
      </c>
    </row>
    <row r="111" spans="1:7" ht="22.05" customHeight="1" x14ac:dyDescent="0.3">
      <c r="A111" s="11">
        <v>108</v>
      </c>
      <c r="B111" s="12" t="s">
        <v>275</v>
      </c>
      <c r="C111" s="13" t="s">
        <v>276</v>
      </c>
      <c r="D111" s="11" t="s">
        <v>223</v>
      </c>
      <c r="E111" s="14">
        <v>8.5</v>
      </c>
      <c r="F111" s="14">
        <v>12.5</v>
      </c>
      <c r="G111" s="2" t="str">
        <f>HYPERLINK("https://www.spglobal.com/en/careers/", "Apply / Careers ↗")</f>
        <v>Apply / Careers ↗</v>
      </c>
    </row>
    <row r="112" spans="1:7" ht="22.05" customHeight="1" x14ac:dyDescent="0.3">
      <c r="A112" s="7">
        <v>109</v>
      </c>
      <c r="B112" s="8" t="s">
        <v>277</v>
      </c>
      <c r="C112" s="9" t="s">
        <v>278</v>
      </c>
      <c r="D112" s="7" t="s">
        <v>223</v>
      </c>
      <c r="E112" s="10">
        <v>8.5</v>
      </c>
      <c r="F112" s="10">
        <v>12.5</v>
      </c>
      <c r="G112" s="3" t="str">
        <f>HYPERLINK("https://careers.moodys.com/", "Apply / Careers ↗")</f>
        <v>Apply / Careers ↗</v>
      </c>
    </row>
    <row r="113" spans="1:7" ht="22.05" customHeight="1" x14ac:dyDescent="0.3">
      <c r="A113" s="11">
        <v>110</v>
      </c>
      <c r="B113" s="12" t="s">
        <v>279</v>
      </c>
      <c r="C113" s="13" t="s">
        <v>280</v>
      </c>
      <c r="D113" s="11" t="s">
        <v>274</v>
      </c>
      <c r="E113" s="14">
        <v>8</v>
      </c>
      <c r="F113" s="14">
        <v>11.8</v>
      </c>
      <c r="G113" s="2" t="str">
        <f>HYPERLINK("https://www.morningstar.com/careers", "Apply / Careers ↗")</f>
        <v>Apply / Careers ↗</v>
      </c>
    </row>
    <row r="114" spans="1:7" ht="22.05" customHeight="1" x14ac:dyDescent="0.3">
      <c r="A114" s="7">
        <v>111</v>
      </c>
      <c r="B114" s="8" t="s">
        <v>281</v>
      </c>
      <c r="C114" s="9" t="s">
        <v>282</v>
      </c>
      <c r="D114" s="7" t="s">
        <v>178</v>
      </c>
      <c r="E114" s="10">
        <v>8.8000000000000007</v>
      </c>
      <c r="F114" s="10">
        <v>12.8</v>
      </c>
      <c r="G114" s="3" t="str">
        <f>HYPERLINK("https://www.msci.com/careers", "Apply / Careers ↗")</f>
        <v>Apply / Careers ↗</v>
      </c>
    </row>
    <row r="115" spans="1:7" ht="22.05" customHeight="1" x14ac:dyDescent="0.3">
      <c r="A115" s="11">
        <v>112</v>
      </c>
      <c r="B115" s="12" t="s">
        <v>283</v>
      </c>
      <c r="C115" s="13" t="s">
        <v>284</v>
      </c>
      <c r="D115" s="11" t="s">
        <v>236</v>
      </c>
      <c r="E115" s="14">
        <v>7.5</v>
      </c>
      <c r="F115" s="14">
        <v>11.2</v>
      </c>
      <c r="G115" s="2" t="str">
        <f>HYPERLINK("https://www.crisil.com/en/home/careers.html", "Apply / Careers ↗")</f>
        <v>Apply / Careers ↗</v>
      </c>
    </row>
    <row r="116" spans="1:7" ht="22.05" customHeight="1" x14ac:dyDescent="0.3">
      <c r="A116" s="7">
        <v>113</v>
      </c>
      <c r="B116" s="8" t="s">
        <v>285</v>
      </c>
      <c r="C116" s="9" t="s">
        <v>286</v>
      </c>
      <c r="D116" s="7" t="s">
        <v>287</v>
      </c>
      <c r="E116" s="10">
        <v>7</v>
      </c>
      <c r="F116" s="10">
        <v>10.5</v>
      </c>
      <c r="G116" s="3" t="str">
        <f>HYPERLINK("https://www.careratings.com/careers", "Apply / Careers ↗")</f>
        <v>Apply / Careers ↗</v>
      </c>
    </row>
    <row r="117" spans="1:7" ht="22.05" customHeight="1" x14ac:dyDescent="0.3">
      <c r="A117" s="11">
        <v>114</v>
      </c>
      <c r="B117" s="12" t="s">
        <v>288</v>
      </c>
      <c r="C117" s="13" t="s">
        <v>289</v>
      </c>
      <c r="D117" s="11" t="s">
        <v>287</v>
      </c>
      <c r="E117" s="14">
        <v>7</v>
      </c>
      <c r="F117" s="14">
        <v>10.5</v>
      </c>
      <c r="G117" s="2" t="str">
        <f>HYPERLINK("https://www.icra.in/Careers", "Apply / Careers ↗")</f>
        <v>Apply / Careers ↗</v>
      </c>
    </row>
    <row r="118" spans="1:7" ht="22.05" customHeight="1" x14ac:dyDescent="0.3">
      <c r="A118" s="7">
        <v>115</v>
      </c>
      <c r="B118" s="8" t="s">
        <v>290</v>
      </c>
      <c r="C118" s="9" t="s">
        <v>291</v>
      </c>
      <c r="D118" s="7" t="s">
        <v>292</v>
      </c>
      <c r="E118" s="10">
        <v>7.5</v>
      </c>
      <c r="F118" s="10">
        <v>11</v>
      </c>
      <c r="G118" s="3" t="str">
        <f>HYPERLINK("https://www.dnb.co.in/careers/", "Apply / Careers ↗")</f>
        <v>Apply / Careers ↗</v>
      </c>
    </row>
    <row r="119" spans="1:7" ht="22.05" customHeight="1" x14ac:dyDescent="0.3">
      <c r="A119" s="11">
        <v>116</v>
      </c>
      <c r="B119" s="12" t="s">
        <v>293</v>
      </c>
      <c r="C119" s="13" t="s">
        <v>294</v>
      </c>
      <c r="D119" s="11" t="s">
        <v>223</v>
      </c>
      <c r="E119" s="14">
        <v>8.5</v>
      </c>
      <c r="F119" s="14">
        <v>12.5</v>
      </c>
      <c r="G119" s="2" t="str">
        <f>HYPERLINK("https://www.experian.in/careers", "Apply / Careers ↗")</f>
        <v>Apply / Careers ↗</v>
      </c>
    </row>
    <row r="120" spans="1:7" ht="22.05" customHeight="1" x14ac:dyDescent="0.3">
      <c r="A120" s="7">
        <v>117</v>
      </c>
      <c r="B120" s="8" t="s">
        <v>295</v>
      </c>
      <c r="C120" s="9" t="s">
        <v>296</v>
      </c>
      <c r="D120" s="7" t="s">
        <v>223</v>
      </c>
      <c r="E120" s="10">
        <v>8.5</v>
      </c>
      <c r="F120" s="10">
        <v>12.5</v>
      </c>
      <c r="G120" s="3" t="str">
        <f>HYPERLINK("https://www.transunioncibil.com/about-us/careers", "Apply / Careers ↗")</f>
        <v>Apply / Careers ↗</v>
      </c>
    </row>
    <row r="121" spans="1:7" ht="22.05" customHeight="1" x14ac:dyDescent="0.3">
      <c r="A121" s="11">
        <v>118</v>
      </c>
      <c r="B121" s="12" t="s">
        <v>297</v>
      </c>
      <c r="C121" s="13" t="s">
        <v>298</v>
      </c>
      <c r="D121" s="11" t="s">
        <v>274</v>
      </c>
      <c r="E121" s="14">
        <v>8</v>
      </c>
      <c r="F121" s="14">
        <v>11.8</v>
      </c>
      <c r="G121" s="2" t="str">
        <f>HYPERLINK("https://www.equifax.co.in/careers", "Apply / Careers ↗")</f>
        <v>Apply / Careers ↗</v>
      </c>
    </row>
    <row r="122" spans="1:7" ht="22.05" customHeight="1" x14ac:dyDescent="0.3">
      <c r="A122" s="7">
        <v>119</v>
      </c>
      <c r="B122" s="8" t="s">
        <v>299</v>
      </c>
      <c r="C122" s="9" t="s">
        <v>300</v>
      </c>
      <c r="D122" s="7" t="s">
        <v>292</v>
      </c>
      <c r="E122" s="10">
        <v>7.5</v>
      </c>
      <c r="F122" s="10">
        <v>11</v>
      </c>
      <c r="G122" s="3" t="str">
        <f>HYPERLINK("https://www.crifhighmark.com/careers/", "Apply / Careers ↗")</f>
        <v>Apply / Careers ↗</v>
      </c>
    </row>
    <row r="123" spans="1:7" ht="22.05" customHeight="1" x14ac:dyDescent="0.3">
      <c r="A123" s="11">
        <v>120</v>
      </c>
      <c r="B123" s="12" t="s">
        <v>301</v>
      </c>
      <c r="C123" s="13" t="s">
        <v>302</v>
      </c>
      <c r="D123" s="11" t="s">
        <v>171</v>
      </c>
      <c r="E123" s="14">
        <v>9</v>
      </c>
      <c r="F123" s="14">
        <v>13</v>
      </c>
      <c r="G123" s="2" t="str">
        <f>HYPERLINK("https://www.fico.com/en/careers", "Apply / Careers ↗")</f>
        <v>Apply / Careers ↗</v>
      </c>
    </row>
    <row r="124" spans="1:7" ht="22.05" customHeight="1" x14ac:dyDescent="0.3">
      <c r="A124" s="7">
        <v>121</v>
      </c>
      <c r="B124" s="8" t="s">
        <v>303</v>
      </c>
      <c r="C124" s="9" t="s">
        <v>304</v>
      </c>
      <c r="D124" s="7" t="s">
        <v>160</v>
      </c>
      <c r="E124" s="10">
        <v>9.5</v>
      </c>
      <c r="F124" s="10">
        <v>14</v>
      </c>
      <c r="G124" s="3" t="str">
        <f>HYPERLINK("https://www.mckinsey.com/careers", "Apply / Careers ↗")</f>
        <v>Apply / Careers ↗</v>
      </c>
    </row>
    <row r="125" spans="1:7" ht="22.05" customHeight="1" x14ac:dyDescent="0.3">
      <c r="A125" s="11">
        <v>122</v>
      </c>
      <c r="B125" s="12" t="s">
        <v>305</v>
      </c>
      <c r="C125" s="13" t="s">
        <v>306</v>
      </c>
      <c r="D125" s="11" t="s">
        <v>151</v>
      </c>
      <c r="E125" s="14">
        <v>9.8000000000000007</v>
      </c>
      <c r="F125" s="14">
        <v>14.5</v>
      </c>
      <c r="G125" s="2" t="str">
        <f>HYPERLINK("https://careers.bcg.com/", "Apply / Careers ↗")</f>
        <v>Apply / Careers ↗</v>
      </c>
    </row>
    <row r="126" spans="1:7" ht="22.05" customHeight="1" x14ac:dyDescent="0.3">
      <c r="A126" s="7">
        <v>123</v>
      </c>
      <c r="B126" s="8" t="s">
        <v>307</v>
      </c>
      <c r="C126" s="9" t="s">
        <v>308</v>
      </c>
      <c r="D126" s="7" t="s">
        <v>151</v>
      </c>
      <c r="E126" s="10">
        <v>9.8000000000000007</v>
      </c>
      <c r="F126" s="10">
        <v>14.5</v>
      </c>
      <c r="G126" s="3" t="str">
        <f>HYPERLINK("https://www.bain.com/careers/", "Apply / Careers ↗")</f>
        <v>Apply / Careers ↗</v>
      </c>
    </row>
    <row r="127" spans="1:7" ht="22.05" customHeight="1" x14ac:dyDescent="0.3">
      <c r="A127" s="11">
        <v>124</v>
      </c>
      <c r="B127" s="12" t="s">
        <v>309</v>
      </c>
      <c r="C127" s="13" t="s">
        <v>310</v>
      </c>
      <c r="D127" s="11" t="s">
        <v>178</v>
      </c>
      <c r="E127" s="14">
        <v>9</v>
      </c>
      <c r="F127" s="14">
        <v>13</v>
      </c>
      <c r="G127" s="2" t="str">
        <f>HYPERLINK("https://www.oliverwyman.com/careers.html", "Apply / Careers ↗")</f>
        <v>Apply / Careers ↗</v>
      </c>
    </row>
    <row r="128" spans="1:7" ht="22.05" customHeight="1" x14ac:dyDescent="0.3">
      <c r="A128" s="7">
        <v>125</v>
      </c>
      <c r="B128" s="8" t="s">
        <v>311</v>
      </c>
      <c r="C128" s="9" t="s">
        <v>312</v>
      </c>
      <c r="D128" s="7" t="s">
        <v>178</v>
      </c>
      <c r="E128" s="10">
        <v>9</v>
      </c>
      <c r="F128" s="10">
        <v>13</v>
      </c>
      <c r="G128" s="3" t="str">
        <f>HYPERLINK("https://www.kearney.com/careers", "Apply / Careers ↗")</f>
        <v>Apply / Careers ↗</v>
      </c>
    </row>
    <row r="129" spans="1:7" ht="22.05" customHeight="1" x14ac:dyDescent="0.3">
      <c r="A129" s="11">
        <v>126</v>
      </c>
      <c r="B129" s="12" t="s">
        <v>313</v>
      </c>
      <c r="C129" s="13" t="s">
        <v>314</v>
      </c>
      <c r="D129" s="11" t="s">
        <v>223</v>
      </c>
      <c r="E129" s="14">
        <v>8.5</v>
      </c>
      <c r="F129" s="14">
        <v>12.5</v>
      </c>
      <c r="G129" s="2" t="str">
        <f>HYPERLINK("https://www.rolandberger.com/en/Join/", "Apply / Careers ↗")</f>
        <v>Apply / Careers ↗</v>
      </c>
    </row>
    <row r="130" spans="1:7" ht="22.05" customHeight="1" x14ac:dyDescent="0.3">
      <c r="A130" s="7">
        <v>127</v>
      </c>
      <c r="B130" s="8" t="s">
        <v>315</v>
      </c>
      <c r="C130" s="9" t="s">
        <v>316</v>
      </c>
      <c r="D130" s="7" t="s">
        <v>178</v>
      </c>
      <c r="E130" s="10">
        <v>8.8000000000000007</v>
      </c>
      <c r="F130" s="10">
        <v>13</v>
      </c>
      <c r="G130" s="3" t="str">
        <f>HYPERLINK("https://www.strategyand.pwc.com/careers.html", "Apply / Careers ↗")</f>
        <v>Apply / Careers ↗</v>
      </c>
    </row>
    <row r="131" spans="1:7" ht="22.05" customHeight="1" x14ac:dyDescent="0.3">
      <c r="A131" s="11">
        <v>128</v>
      </c>
      <c r="B131" s="12" t="s">
        <v>317</v>
      </c>
      <c r="C131" s="13" t="s">
        <v>318</v>
      </c>
      <c r="D131" s="11" t="s">
        <v>241</v>
      </c>
      <c r="E131" s="14">
        <v>7.5</v>
      </c>
      <c r="F131" s="14">
        <v>11.5</v>
      </c>
      <c r="G131" s="2" t="str">
        <f>HYPERLINK("https://www.ey.com/en_in/careers", "Apply / Careers ↗")</f>
        <v>Apply / Careers ↗</v>
      </c>
    </row>
    <row r="132" spans="1:7" ht="22.05" customHeight="1" x14ac:dyDescent="0.3">
      <c r="A132" s="7">
        <v>129</v>
      </c>
      <c r="B132" s="8" t="s">
        <v>319</v>
      </c>
      <c r="C132" s="9" t="s">
        <v>320</v>
      </c>
      <c r="D132" s="7" t="s">
        <v>241</v>
      </c>
      <c r="E132" s="10">
        <v>7.5</v>
      </c>
      <c r="F132" s="10">
        <v>11.5</v>
      </c>
      <c r="G132" s="3" t="str">
        <f>HYPERLINK("https://www.pwc.in/careers.html", "Apply / Careers ↗")</f>
        <v>Apply / Careers ↗</v>
      </c>
    </row>
    <row r="133" spans="1:7" ht="22.05" customHeight="1" x14ac:dyDescent="0.3">
      <c r="A133" s="11">
        <v>130</v>
      </c>
      <c r="B133" s="12" t="s">
        <v>321</v>
      </c>
      <c r="C133" s="13" t="s">
        <v>322</v>
      </c>
      <c r="D133" s="11" t="s">
        <v>323</v>
      </c>
      <c r="E133" s="14">
        <v>7.8</v>
      </c>
      <c r="F133" s="14">
        <v>11.8</v>
      </c>
      <c r="G133" s="2" t="str">
        <f>HYPERLINK("https://www2.deloitte.com/ui/en/careers/careers.html", "Apply / Careers ↗")</f>
        <v>Apply / Careers ↗</v>
      </c>
    </row>
    <row r="134" spans="1:7" ht="22.05" customHeight="1" x14ac:dyDescent="0.3">
      <c r="A134" s="7">
        <v>131</v>
      </c>
      <c r="B134" s="8" t="s">
        <v>324</v>
      </c>
      <c r="C134" s="9" t="s">
        <v>325</v>
      </c>
      <c r="D134" s="7" t="s">
        <v>236</v>
      </c>
      <c r="E134" s="10">
        <v>7.5</v>
      </c>
      <c r="F134" s="10">
        <v>11.2</v>
      </c>
      <c r="G134" s="3" t="str">
        <f>HYPERLINK("https://kpmg.com/in/en/home/careers.html", "Apply / Careers ↗")</f>
        <v>Apply / Careers ↗</v>
      </c>
    </row>
    <row r="135" spans="1:7" ht="22.05" customHeight="1" x14ac:dyDescent="0.3">
      <c r="A135" s="11">
        <v>132</v>
      </c>
      <c r="B135" s="12" t="s">
        <v>326</v>
      </c>
      <c r="C135" s="13" t="s">
        <v>327</v>
      </c>
      <c r="D135" s="11" t="s">
        <v>287</v>
      </c>
      <c r="E135" s="14">
        <v>7</v>
      </c>
      <c r="F135" s="14">
        <v>10.5</v>
      </c>
      <c r="G135" s="2" t="str">
        <f>HYPERLINK("https://www.grantthornton.in/careers/", "Apply / Careers ↗")</f>
        <v>Apply / Careers ↗</v>
      </c>
    </row>
    <row r="136" spans="1:7" ht="22.05" customHeight="1" x14ac:dyDescent="0.3">
      <c r="A136" s="7">
        <v>133</v>
      </c>
      <c r="B136" s="8" t="s">
        <v>328</v>
      </c>
      <c r="C136" s="9" t="s">
        <v>329</v>
      </c>
      <c r="D136" s="7" t="s">
        <v>330</v>
      </c>
      <c r="E136" s="10">
        <v>6.8</v>
      </c>
      <c r="F136" s="10">
        <v>10.199999999999999</v>
      </c>
      <c r="G136" s="3" t="str">
        <f>HYPERLINK("https://www.bdo.in/en-gb/careers", "Apply / Careers ↗")</f>
        <v>Apply / Careers ↗</v>
      </c>
    </row>
    <row r="137" spans="1:7" ht="22.05" customHeight="1" x14ac:dyDescent="0.3">
      <c r="A137" s="11">
        <v>134</v>
      </c>
      <c r="B137" s="12" t="s">
        <v>331</v>
      </c>
      <c r="C137" s="13" t="s">
        <v>332</v>
      </c>
      <c r="D137" s="11" t="s">
        <v>287</v>
      </c>
      <c r="E137" s="14">
        <v>7</v>
      </c>
      <c r="F137" s="14">
        <v>10.5</v>
      </c>
      <c r="G137" s="2" t="str">
        <f>HYPERLINK("https://www.protiviti.com/in-en/careers", "Apply / Careers ↗")</f>
        <v>Apply / Careers ↗</v>
      </c>
    </row>
    <row r="138" spans="1:7" ht="22.05" customHeight="1" x14ac:dyDescent="0.3">
      <c r="A138" s="7">
        <v>135</v>
      </c>
      <c r="B138" s="8" t="s">
        <v>333</v>
      </c>
      <c r="C138" s="9" t="s">
        <v>334</v>
      </c>
      <c r="D138" s="7" t="s">
        <v>171</v>
      </c>
      <c r="E138" s="10">
        <v>9.1999999999999993</v>
      </c>
      <c r="F138" s="10">
        <v>13.5</v>
      </c>
      <c r="G138" s="3" t="str">
        <f>HYPERLINK("https://www.alvarezandmarsal.com/careers", "Apply / Careers ↗")</f>
        <v>Apply / Careers ↗</v>
      </c>
    </row>
    <row r="139" spans="1:7" ht="22.05" customHeight="1" x14ac:dyDescent="0.3">
      <c r="A139" s="11">
        <v>136</v>
      </c>
      <c r="B139" s="12" t="s">
        <v>335</v>
      </c>
      <c r="C139" s="13" t="s">
        <v>336</v>
      </c>
      <c r="D139" s="11" t="s">
        <v>337</v>
      </c>
      <c r="E139" s="14">
        <v>6.5</v>
      </c>
      <c r="F139" s="14">
        <v>10</v>
      </c>
      <c r="G139" s="2" t="str">
        <f>HYPERLINK("https://www.accenture.com/in-en/careers", "Apply / Careers ↗")</f>
        <v>Apply / Careers ↗</v>
      </c>
    </row>
    <row r="140" spans="1:7" ht="22.05" customHeight="1" x14ac:dyDescent="0.3">
      <c r="A140" s="7">
        <v>137</v>
      </c>
      <c r="B140" s="8" t="s">
        <v>338</v>
      </c>
      <c r="C140" s="9" t="s">
        <v>339</v>
      </c>
      <c r="D140" s="7" t="s">
        <v>340</v>
      </c>
      <c r="E140" s="10">
        <v>6.2</v>
      </c>
      <c r="F140" s="10">
        <v>9.1999999999999993</v>
      </c>
      <c r="G140" s="3" t="str">
        <f>HYPERLINK("https://www.tcs.com/careers", "Apply / Careers ↗")</f>
        <v>Apply / Careers ↗</v>
      </c>
    </row>
    <row r="141" spans="1:7" ht="22.05" customHeight="1" x14ac:dyDescent="0.3">
      <c r="A141" s="11">
        <v>138</v>
      </c>
      <c r="B141" s="12" t="s">
        <v>341</v>
      </c>
      <c r="C141" s="13" t="s">
        <v>342</v>
      </c>
      <c r="D141" s="11" t="s">
        <v>340</v>
      </c>
      <c r="E141" s="14">
        <v>6.2</v>
      </c>
      <c r="F141" s="14">
        <v>9.1999999999999993</v>
      </c>
      <c r="G141" s="2" t="str">
        <f>HYPERLINK("https://www.infosys.com/careers/", "Apply / Careers ↗")</f>
        <v>Apply / Careers ↗</v>
      </c>
    </row>
    <row r="142" spans="1:7" ht="22.05" customHeight="1" x14ac:dyDescent="0.3">
      <c r="A142" s="7">
        <v>139</v>
      </c>
      <c r="B142" s="8" t="s">
        <v>343</v>
      </c>
      <c r="C142" s="9" t="s">
        <v>344</v>
      </c>
      <c r="D142" s="7" t="s">
        <v>345</v>
      </c>
      <c r="E142" s="10">
        <v>6</v>
      </c>
      <c r="F142" s="10">
        <v>9</v>
      </c>
      <c r="G142" s="3" t="str">
        <f>HYPERLINK("https://careers.wipro.com/", "Apply / Careers ↗")</f>
        <v>Apply / Careers ↗</v>
      </c>
    </row>
    <row r="143" spans="1:7" ht="22.05" customHeight="1" x14ac:dyDescent="0.3">
      <c r="A143" s="11">
        <v>140</v>
      </c>
      <c r="B143" s="12" t="s">
        <v>346</v>
      </c>
      <c r="C143" s="13" t="s">
        <v>347</v>
      </c>
      <c r="D143" s="11" t="s">
        <v>345</v>
      </c>
      <c r="E143" s="14">
        <v>6</v>
      </c>
      <c r="F143" s="14">
        <v>9</v>
      </c>
      <c r="G143" s="2" t="str">
        <f>HYPERLINK("https://careers.cognizant.com/global/en", "Apply / Careers ↗")</f>
        <v>Apply / Careers ↗</v>
      </c>
    </row>
    <row r="144" spans="1:7" ht="22.05" customHeight="1" x14ac:dyDescent="0.3">
      <c r="A144" s="7">
        <v>141</v>
      </c>
      <c r="B144" s="8" t="s">
        <v>348</v>
      </c>
      <c r="C144" s="9" t="s">
        <v>349</v>
      </c>
      <c r="D144" s="7" t="s">
        <v>350</v>
      </c>
      <c r="E144" s="10">
        <v>6</v>
      </c>
      <c r="F144" s="10">
        <v>8.8000000000000007</v>
      </c>
      <c r="G144" s="3" t="str">
        <f>HYPERLINK("https://www.hcltech.com/careers", "Apply / Careers ↗")</f>
        <v>Apply / Careers ↗</v>
      </c>
    </row>
    <row r="145" spans="1:7" ht="22.05" customHeight="1" x14ac:dyDescent="0.3">
      <c r="A145" s="11">
        <v>142</v>
      </c>
      <c r="B145" s="12" t="s">
        <v>351</v>
      </c>
      <c r="C145" s="13" t="s">
        <v>352</v>
      </c>
      <c r="D145" s="11" t="s">
        <v>353</v>
      </c>
      <c r="E145" s="14">
        <v>5.8</v>
      </c>
      <c r="F145" s="14">
        <v>8.6</v>
      </c>
      <c r="G145" s="2" t="str">
        <f>HYPERLINK("https://careers.techmahindra.com/", "Apply / Careers ↗")</f>
        <v>Apply / Careers ↗</v>
      </c>
    </row>
    <row r="146" spans="1:7" ht="22.05" customHeight="1" x14ac:dyDescent="0.3">
      <c r="A146" s="7">
        <v>143</v>
      </c>
      <c r="B146" s="8" t="s">
        <v>354</v>
      </c>
      <c r="C146" s="9" t="s">
        <v>355</v>
      </c>
      <c r="D146" s="7" t="s">
        <v>345</v>
      </c>
      <c r="E146" s="10">
        <v>6</v>
      </c>
      <c r="F146" s="10">
        <v>9</v>
      </c>
      <c r="G146" s="3" t="str">
        <f>HYPERLINK("https://www.capgemini.com/in-en/careers/", "Apply / Careers ↗")</f>
        <v>Apply / Careers ↗</v>
      </c>
    </row>
    <row r="147" spans="1:7" ht="22.05" customHeight="1" x14ac:dyDescent="0.3">
      <c r="A147" s="11">
        <v>144</v>
      </c>
      <c r="B147" s="12" t="s">
        <v>356</v>
      </c>
      <c r="C147" s="13" t="s">
        <v>357</v>
      </c>
      <c r="D147" s="11" t="s">
        <v>340</v>
      </c>
      <c r="E147" s="14">
        <v>6.2</v>
      </c>
      <c r="F147" s="14">
        <v>9.1999999999999993</v>
      </c>
      <c r="G147" s="2" t="str">
        <f>HYPERLINK("https://www.ltimindtree.com/careers/", "Apply / Careers ↗")</f>
        <v>Apply / Careers ↗</v>
      </c>
    </row>
    <row r="148" spans="1:7" ht="22.05" customHeight="1" x14ac:dyDescent="0.3">
      <c r="A148" s="7">
        <v>145</v>
      </c>
      <c r="B148" s="8" t="s">
        <v>358</v>
      </c>
      <c r="C148" s="9" t="s">
        <v>359</v>
      </c>
      <c r="D148" s="7" t="s">
        <v>360</v>
      </c>
      <c r="E148" s="10">
        <v>6.4</v>
      </c>
      <c r="F148" s="10">
        <v>9.5</v>
      </c>
      <c r="G148" s="3" t="str">
        <f>HYPERLINK("https://www.tataelxsi.com/careers", "Apply / Careers ↗")</f>
        <v>Apply / Careers ↗</v>
      </c>
    </row>
    <row r="149" spans="1:7" ht="22.05" customHeight="1" x14ac:dyDescent="0.3">
      <c r="A149" s="11">
        <v>146</v>
      </c>
      <c r="B149" s="12" t="s">
        <v>361</v>
      </c>
      <c r="C149" s="13" t="s">
        <v>362</v>
      </c>
      <c r="D149" s="11" t="s">
        <v>363</v>
      </c>
      <c r="E149" s="14">
        <v>6.6</v>
      </c>
      <c r="F149" s="14">
        <v>9.8000000000000007</v>
      </c>
      <c r="G149" s="2" t="str">
        <f>HYPERLINK("https://www.persistent.com/careers/", "Apply / Careers ↗")</f>
        <v>Apply / Careers ↗</v>
      </c>
    </row>
    <row r="150" spans="1:7" ht="22.05" customHeight="1" x14ac:dyDescent="0.3">
      <c r="A150" s="7">
        <v>147</v>
      </c>
      <c r="B150" s="8" t="s">
        <v>364</v>
      </c>
      <c r="C150" s="9" t="s">
        <v>365</v>
      </c>
      <c r="D150" s="7" t="s">
        <v>350</v>
      </c>
      <c r="E150" s="10">
        <v>6</v>
      </c>
      <c r="F150" s="10">
        <v>8.8000000000000007</v>
      </c>
      <c r="G150" s="3" t="str">
        <f>HYPERLINK("https://www.birlasoft.com/careers", "Apply / Careers ↗")</f>
        <v>Apply / Careers ↗</v>
      </c>
    </row>
    <row r="151" spans="1:7" ht="22.05" customHeight="1" x14ac:dyDescent="0.3">
      <c r="A151" s="11">
        <v>148</v>
      </c>
      <c r="B151" s="12" t="s">
        <v>366</v>
      </c>
      <c r="C151" s="13" t="s">
        <v>367</v>
      </c>
      <c r="D151" s="11" t="s">
        <v>353</v>
      </c>
      <c r="E151" s="14">
        <v>5.8</v>
      </c>
      <c r="F151" s="14">
        <v>8.6</v>
      </c>
      <c r="G151" s="2" t="str">
        <f>HYPERLINK("https://www.cyient.com/careers", "Apply / Careers ↗")</f>
        <v>Apply / Careers ↗</v>
      </c>
    </row>
    <row r="152" spans="1:7" ht="22.05" customHeight="1" x14ac:dyDescent="0.3">
      <c r="A152" s="7">
        <v>149</v>
      </c>
      <c r="B152" s="8" t="s">
        <v>368</v>
      </c>
      <c r="C152" s="9" t="s">
        <v>369</v>
      </c>
      <c r="D152" s="7" t="s">
        <v>345</v>
      </c>
      <c r="E152" s="10">
        <v>6</v>
      </c>
      <c r="F152" s="10">
        <v>9</v>
      </c>
      <c r="G152" s="3" t="str">
        <f>HYPERLINK("https://hexaware.com/careers/", "Apply / Careers ↗")</f>
        <v>Apply / Careers ↗</v>
      </c>
    </row>
    <row r="153" spans="1:7" ht="22.05" customHeight="1" x14ac:dyDescent="0.3">
      <c r="A153" s="11">
        <v>150</v>
      </c>
      <c r="B153" s="12" t="s">
        <v>370</v>
      </c>
      <c r="C153" s="13" t="s">
        <v>371</v>
      </c>
      <c r="D153" s="11" t="s">
        <v>353</v>
      </c>
      <c r="E153" s="14">
        <v>5.8</v>
      </c>
      <c r="F153" s="14">
        <v>8.6</v>
      </c>
      <c r="G153" s="2" t="str">
        <f>HYPERLINK("https://www.zensar.com/careers", "Apply / Careers ↗")</f>
        <v>Apply / Careers ↗</v>
      </c>
    </row>
    <row r="154" spans="1:7" ht="22.05" customHeight="1" x14ac:dyDescent="0.3">
      <c r="A154" s="7">
        <v>151</v>
      </c>
      <c r="B154" s="8" t="s">
        <v>372</v>
      </c>
      <c r="C154" s="9" t="s">
        <v>373</v>
      </c>
      <c r="D154" s="7" t="s">
        <v>353</v>
      </c>
      <c r="E154" s="10">
        <v>5.8</v>
      </c>
      <c r="F154" s="10">
        <v>8.6</v>
      </c>
      <c r="G154" s="3" t="str">
        <f>HYPERLINK("https://careers.mphasis.com/", "Apply / Careers ↗")</f>
        <v>Apply / Careers ↗</v>
      </c>
    </row>
    <row r="155" spans="1:7" ht="22.05" customHeight="1" x14ac:dyDescent="0.3">
      <c r="A155" s="11">
        <v>152</v>
      </c>
      <c r="B155" s="12" t="s">
        <v>374</v>
      </c>
      <c r="C155" s="13" t="s">
        <v>375</v>
      </c>
      <c r="D155" s="11" t="s">
        <v>353</v>
      </c>
      <c r="E155" s="14">
        <v>5.8</v>
      </c>
      <c r="F155" s="14">
        <v>8.6</v>
      </c>
      <c r="G155" s="2" t="str">
        <f>HYPERLINK("https://www.sonata-software.com/careers", "Apply / Careers ↗")</f>
        <v>Apply / Careers ↗</v>
      </c>
    </row>
    <row r="156" spans="1:7" ht="22.05" customHeight="1" x14ac:dyDescent="0.3">
      <c r="A156" s="7">
        <v>153</v>
      </c>
      <c r="B156" s="8" t="s">
        <v>376</v>
      </c>
      <c r="C156" s="9" t="s">
        <v>377</v>
      </c>
      <c r="D156" s="7" t="s">
        <v>340</v>
      </c>
      <c r="E156" s="10">
        <v>6.2</v>
      </c>
      <c r="F156" s="10">
        <v>9.1999999999999993</v>
      </c>
      <c r="G156" s="3" t="str">
        <f>HYPERLINK("https://www.kpit.com/careers/", "Apply / Careers ↗")</f>
        <v>Apply / Careers ↗</v>
      </c>
    </row>
    <row r="157" spans="1:7" ht="22.05" customHeight="1" x14ac:dyDescent="0.3">
      <c r="A157" s="11">
        <v>154</v>
      </c>
      <c r="B157" s="12" t="s">
        <v>378</v>
      </c>
      <c r="C157" s="13" t="s">
        <v>379</v>
      </c>
      <c r="D157" s="11" t="s">
        <v>345</v>
      </c>
      <c r="E157" s="14">
        <v>6</v>
      </c>
      <c r="F157" s="14">
        <v>9</v>
      </c>
      <c r="G157" s="2" t="str">
        <f>HYPERLINK("https://www.coforge.com/careers", "Apply / Careers ↗")</f>
        <v>Apply / Careers ↗</v>
      </c>
    </row>
    <row r="158" spans="1:7" ht="22.05" customHeight="1" x14ac:dyDescent="0.3">
      <c r="A158" s="7">
        <v>155</v>
      </c>
      <c r="B158" s="8" t="s">
        <v>380</v>
      </c>
      <c r="C158" s="9" t="s">
        <v>381</v>
      </c>
      <c r="D158" s="7" t="s">
        <v>350</v>
      </c>
      <c r="E158" s="10">
        <v>6</v>
      </c>
      <c r="F158" s="10">
        <v>8.8000000000000007</v>
      </c>
      <c r="G158" s="3" t="str">
        <f>HYPERLINK("https://www.itcinfotech.com/careers/", "Apply / Careers ↗")</f>
        <v>Apply / Careers ↗</v>
      </c>
    </row>
    <row r="159" spans="1:7" ht="22.05" customHeight="1" x14ac:dyDescent="0.3">
      <c r="A159" s="11">
        <v>156</v>
      </c>
      <c r="B159" s="12" t="s">
        <v>382</v>
      </c>
      <c r="C159" s="13" t="s">
        <v>383</v>
      </c>
      <c r="D159" s="11" t="s">
        <v>384</v>
      </c>
      <c r="E159" s="14">
        <v>5.5</v>
      </c>
      <c r="F159" s="14">
        <v>8.1999999999999993</v>
      </c>
      <c r="G159" s="2" t="str">
        <f>HYPERLINK("https://www.firstsource.com/careers/", "Apply / Careers ↗")</f>
        <v>Apply / Careers ↗</v>
      </c>
    </row>
    <row r="160" spans="1:7" ht="22.05" customHeight="1" x14ac:dyDescent="0.3">
      <c r="A160" s="7">
        <v>157</v>
      </c>
      <c r="B160" s="8" t="s">
        <v>385</v>
      </c>
      <c r="C160" s="9" t="s">
        <v>386</v>
      </c>
      <c r="D160" s="7" t="s">
        <v>387</v>
      </c>
      <c r="E160" s="10">
        <v>5.3</v>
      </c>
      <c r="F160" s="10">
        <v>8</v>
      </c>
      <c r="G160" s="3" t="str">
        <f>HYPERLINK("https://jobs.sutherlandglobal.com/", "Apply / Careers ↗")</f>
        <v>Apply / Careers ↗</v>
      </c>
    </row>
    <row r="161" spans="1:7" ht="22.05" customHeight="1" x14ac:dyDescent="0.3">
      <c r="A161" s="11">
        <v>158</v>
      </c>
      <c r="B161" s="12" t="s">
        <v>388</v>
      </c>
      <c r="C161" s="13" t="s">
        <v>389</v>
      </c>
      <c r="D161" s="11" t="s">
        <v>353</v>
      </c>
      <c r="E161" s="14">
        <v>5.8</v>
      </c>
      <c r="F161" s="14">
        <v>8.6</v>
      </c>
      <c r="G161" s="2" t="str">
        <f>HYPERLINK("https://www.virtusa.com/careers", "Apply / Careers ↗")</f>
        <v>Apply / Careers ↗</v>
      </c>
    </row>
    <row r="162" spans="1:7" ht="22.05" customHeight="1" x14ac:dyDescent="0.3">
      <c r="A162" s="7">
        <v>159</v>
      </c>
      <c r="B162" s="8" t="s">
        <v>390</v>
      </c>
      <c r="C162" s="9" t="s">
        <v>391</v>
      </c>
      <c r="D162" s="7" t="s">
        <v>392</v>
      </c>
      <c r="E162" s="10">
        <v>5.8</v>
      </c>
      <c r="F162" s="10">
        <v>8.4</v>
      </c>
      <c r="G162" s="3" t="str">
        <f>HYPERLINK("https://www.mindgate.in/careers", "Apply / Careers ↗")</f>
        <v>Apply / Careers ↗</v>
      </c>
    </row>
    <row r="163" spans="1:7" ht="22.05" customHeight="1" x14ac:dyDescent="0.3">
      <c r="A163" s="11">
        <v>160</v>
      </c>
      <c r="B163" s="12" t="s">
        <v>393</v>
      </c>
      <c r="C163" s="13" t="s">
        <v>394</v>
      </c>
      <c r="D163" s="11" t="s">
        <v>363</v>
      </c>
      <c r="E163" s="14">
        <v>6.6</v>
      </c>
      <c r="F163" s="14">
        <v>9.8000000000000007</v>
      </c>
      <c r="G163" s="2" t="str">
        <f>HYPERLINK("https://www.careers.fiserv.com/", "Apply / Careers ↗")</f>
        <v>Apply / Careers ↗</v>
      </c>
    </row>
    <row r="164" spans="1:7" ht="22.05" customHeight="1" x14ac:dyDescent="0.3">
      <c r="A164" s="7">
        <v>161</v>
      </c>
      <c r="B164" s="8" t="s">
        <v>395</v>
      </c>
      <c r="C164" s="9" t="s">
        <v>396</v>
      </c>
      <c r="D164" s="7" t="s">
        <v>363</v>
      </c>
      <c r="E164" s="10">
        <v>6.6</v>
      </c>
      <c r="F164" s="10">
        <v>9.8000000000000007</v>
      </c>
      <c r="G164" s="3" t="str">
        <f>HYPERLINK("https://careers.fisglobal.com/", "Apply / Careers ↗")</f>
        <v>Apply / Careers ↗</v>
      </c>
    </row>
    <row r="165" spans="1:7" ht="22.05" customHeight="1" x14ac:dyDescent="0.3">
      <c r="A165" s="11">
        <v>162</v>
      </c>
      <c r="B165" s="12" t="s">
        <v>397</v>
      </c>
      <c r="C165" s="13" t="s">
        <v>398</v>
      </c>
      <c r="D165" s="11" t="s">
        <v>340</v>
      </c>
      <c r="E165" s="14">
        <v>6.2</v>
      </c>
      <c r="F165" s="14">
        <v>9.1999999999999993</v>
      </c>
      <c r="G165" s="2" t="str">
        <f>HYPERLINK("https://worldline.com/en/home/careers.html", "Apply / Careers ↗")</f>
        <v>Apply / Careers ↗</v>
      </c>
    </row>
    <row r="166" spans="1:7" ht="22.05" customHeight="1" x14ac:dyDescent="0.3">
      <c r="A166" s="7">
        <v>163</v>
      </c>
      <c r="B166" s="8" t="s">
        <v>399</v>
      </c>
      <c r="C166" s="9" t="s">
        <v>400</v>
      </c>
      <c r="D166" s="7" t="s">
        <v>353</v>
      </c>
      <c r="E166" s="10">
        <v>5.8</v>
      </c>
      <c r="F166" s="10">
        <v>8.6</v>
      </c>
      <c r="G166" s="3" t="str">
        <f>HYPERLINK("https://www.hitachi-payments.com/careers.html", "Apply / Careers ↗")</f>
        <v>Apply / Careers ↗</v>
      </c>
    </row>
    <row r="167" spans="1:7" ht="22.05" customHeight="1" x14ac:dyDescent="0.3">
      <c r="A167" s="11">
        <v>164</v>
      </c>
      <c r="B167" s="12" t="s">
        <v>401</v>
      </c>
      <c r="C167" s="13" t="s">
        <v>402</v>
      </c>
      <c r="D167" s="11" t="s">
        <v>178</v>
      </c>
      <c r="E167" s="14">
        <v>8.8000000000000007</v>
      </c>
      <c r="F167" s="14">
        <v>13</v>
      </c>
      <c r="G167" s="2" t="str">
        <f>HYPERLINK("https://www.pinelabs.com/careers", "Apply / Careers ↗")</f>
        <v>Apply / Careers ↗</v>
      </c>
    </row>
    <row r="168" spans="1:7" ht="22.05" customHeight="1" x14ac:dyDescent="0.3">
      <c r="A168" s="7">
        <v>165</v>
      </c>
      <c r="B168" s="8" t="s">
        <v>403</v>
      </c>
      <c r="C168" s="9" t="s">
        <v>404</v>
      </c>
      <c r="D168" s="7" t="s">
        <v>178</v>
      </c>
      <c r="E168" s="10">
        <v>8.8000000000000007</v>
      </c>
      <c r="F168" s="10">
        <v>13</v>
      </c>
      <c r="G168" s="3" t="str">
        <f>HYPERLINK("https://bharatpe.com/careers", "Apply / Careers ↗")</f>
        <v>Apply / Careers ↗</v>
      </c>
    </row>
    <row r="169" spans="1:7" ht="22.05" customHeight="1" x14ac:dyDescent="0.3">
      <c r="A169" s="11">
        <v>166</v>
      </c>
      <c r="B169" s="12" t="s">
        <v>405</v>
      </c>
      <c r="C169" s="13" t="s">
        <v>406</v>
      </c>
      <c r="D169" s="11" t="s">
        <v>151</v>
      </c>
      <c r="E169" s="14">
        <v>9.5</v>
      </c>
      <c r="F169" s="14">
        <v>14.5</v>
      </c>
      <c r="G169" s="2" t="str">
        <f>HYPERLINK("https://careers.cred.club/", "Apply / Careers ↗")</f>
        <v>Apply / Careers ↗</v>
      </c>
    </row>
    <row r="170" spans="1:7" ht="22.05" customHeight="1" x14ac:dyDescent="0.3">
      <c r="A170" s="7">
        <v>167</v>
      </c>
      <c r="B170" s="8" t="s">
        <v>407</v>
      </c>
      <c r="C170" s="9" t="s">
        <v>408</v>
      </c>
      <c r="D170" s="7" t="s">
        <v>160</v>
      </c>
      <c r="E170" s="10">
        <v>9.1999999999999993</v>
      </c>
      <c r="F170" s="10">
        <v>14</v>
      </c>
      <c r="G170" s="3" t="str">
        <f>HYPERLINK("https://getonecard.app/careers/", "Apply / Careers ↗")</f>
        <v>Apply / Careers ↗</v>
      </c>
    </row>
    <row r="171" spans="1:7" ht="22.05" customHeight="1" x14ac:dyDescent="0.3">
      <c r="A171" s="11">
        <v>168</v>
      </c>
      <c r="B171" s="12" t="s">
        <v>409</v>
      </c>
      <c r="C171" s="13" t="s">
        <v>410</v>
      </c>
      <c r="D171" s="11" t="s">
        <v>178</v>
      </c>
      <c r="E171" s="14">
        <v>8.8000000000000007</v>
      </c>
      <c r="F171" s="14">
        <v>13</v>
      </c>
      <c r="G171" s="2" t="str">
        <f>HYPERLINK("https://www.uni.cards/careers", "Apply / Careers ↗")</f>
        <v>Apply / Careers ↗</v>
      </c>
    </row>
    <row r="172" spans="1:7" ht="22.05" customHeight="1" x14ac:dyDescent="0.3">
      <c r="A172" s="7">
        <v>169</v>
      </c>
      <c r="B172" s="8" t="s">
        <v>411</v>
      </c>
      <c r="C172" s="9" t="s">
        <v>412</v>
      </c>
      <c r="D172" s="7" t="s">
        <v>178</v>
      </c>
      <c r="E172" s="10">
        <v>8.8000000000000007</v>
      </c>
      <c r="F172" s="10">
        <v>13</v>
      </c>
      <c r="G172" s="3" t="str">
        <f>HYPERLINK("https://sliceit.com/careers", "Apply / Careers ↗")</f>
        <v>Apply / Careers ↗</v>
      </c>
    </row>
    <row r="173" spans="1:7" ht="22.05" customHeight="1" x14ac:dyDescent="0.3">
      <c r="A173" s="11">
        <v>170</v>
      </c>
      <c r="B173" s="12" t="s">
        <v>413</v>
      </c>
      <c r="C173" s="13" t="s">
        <v>414</v>
      </c>
      <c r="D173" s="11" t="s">
        <v>178</v>
      </c>
      <c r="E173" s="14">
        <v>8.8000000000000007</v>
      </c>
      <c r="F173" s="14">
        <v>13</v>
      </c>
      <c r="G173" s="2" t="str">
        <f>HYPERLINK("https://jupiter.money/careers/", "Apply / Careers ↗")</f>
        <v>Apply / Careers ↗</v>
      </c>
    </row>
    <row r="174" spans="1:7" ht="22.05" customHeight="1" x14ac:dyDescent="0.3">
      <c r="A174" s="7">
        <v>171</v>
      </c>
      <c r="B174" s="8" t="s">
        <v>415</v>
      </c>
      <c r="C174" s="9" t="s">
        <v>416</v>
      </c>
      <c r="D174" s="7" t="s">
        <v>178</v>
      </c>
      <c r="E174" s="10">
        <v>8.8000000000000007</v>
      </c>
      <c r="F174" s="10">
        <v>13</v>
      </c>
      <c r="G174" s="3" t="str">
        <f>HYPERLINK("https://fi.money/careers", "Apply / Careers ↗")</f>
        <v>Apply / Careers ↗</v>
      </c>
    </row>
    <row r="175" spans="1:7" ht="22.05" customHeight="1" x14ac:dyDescent="0.3">
      <c r="A175" s="11">
        <v>172</v>
      </c>
      <c r="B175" s="12" t="s">
        <v>417</v>
      </c>
      <c r="C175" s="13" t="s">
        <v>418</v>
      </c>
      <c r="D175" s="11" t="s">
        <v>160</v>
      </c>
      <c r="E175" s="14">
        <v>9.1999999999999993</v>
      </c>
      <c r="F175" s="14">
        <v>14</v>
      </c>
      <c r="G175" s="2" t="str">
        <f>HYPERLINK("https://navi.com/careers", "Apply / Careers ↗")</f>
        <v>Apply / Careers ↗</v>
      </c>
    </row>
    <row r="176" spans="1:7" ht="22.05" customHeight="1" x14ac:dyDescent="0.3">
      <c r="A176" s="7">
        <v>173</v>
      </c>
      <c r="B176" s="8" t="s">
        <v>419</v>
      </c>
      <c r="C176" s="9" t="s">
        <v>420</v>
      </c>
      <c r="D176" s="7" t="s">
        <v>236</v>
      </c>
      <c r="E176" s="10">
        <v>7.5</v>
      </c>
      <c r="F176" s="10">
        <v>11.2</v>
      </c>
      <c r="G176" s="3" t="str">
        <f>HYPERLINK("https://www.kreditbee.in/careers", "Apply / Careers ↗")</f>
        <v>Apply / Careers ↗</v>
      </c>
    </row>
    <row r="177" spans="1:7" ht="22.05" customHeight="1" x14ac:dyDescent="0.3">
      <c r="A177" s="11">
        <v>174</v>
      </c>
      <c r="B177" s="12" t="s">
        <v>421</v>
      </c>
      <c r="C177" s="13" t="s">
        <v>422</v>
      </c>
      <c r="D177" s="11" t="s">
        <v>274</v>
      </c>
      <c r="E177" s="14">
        <v>8</v>
      </c>
      <c r="F177" s="14">
        <v>11.8</v>
      </c>
      <c r="G177" s="2" t="str">
        <f>HYPERLINK("https://moneyview.in/careers", "Apply / Careers ↗")</f>
        <v>Apply / Careers ↗</v>
      </c>
    </row>
    <row r="178" spans="1:7" ht="22.05" customHeight="1" x14ac:dyDescent="0.3">
      <c r="A178" s="7">
        <v>175</v>
      </c>
      <c r="B178" s="8" t="s">
        <v>423</v>
      </c>
      <c r="C178" s="9" t="s">
        <v>424</v>
      </c>
      <c r="D178" s="7" t="s">
        <v>337</v>
      </c>
      <c r="E178" s="10">
        <v>6.8</v>
      </c>
      <c r="F178" s="10">
        <v>10</v>
      </c>
      <c r="G178" s="3" t="str">
        <f>HYPERLINK("https://www.cashe.in/careers/", "Apply / Careers ↗")</f>
        <v>Apply / Careers ↗</v>
      </c>
    </row>
    <row r="179" spans="1:7" ht="22.05" customHeight="1" x14ac:dyDescent="0.3">
      <c r="A179" s="11">
        <v>176</v>
      </c>
      <c r="B179" s="12" t="s">
        <v>425</v>
      </c>
      <c r="C179" s="13" t="s">
        <v>426</v>
      </c>
      <c r="D179" s="11" t="s">
        <v>236</v>
      </c>
      <c r="E179" s="14">
        <v>7.5</v>
      </c>
      <c r="F179" s="14">
        <v>11.2</v>
      </c>
      <c r="G179" s="2" t="str">
        <f>HYPERLINK("https://www.fibe.in/careers/", "Apply / Careers ↗")</f>
        <v>Apply / Careers ↗</v>
      </c>
    </row>
    <row r="180" spans="1:7" ht="22.05" customHeight="1" x14ac:dyDescent="0.3">
      <c r="A180" s="7">
        <v>177</v>
      </c>
      <c r="B180" s="8" t="s">
        <v>427</v>
      </c>
      <c r="C180" s="9" t="s">
        <v>428</v>
      </c>
      <c r="D180" s="7" t="s">
        <v>287</v>
      </c>
      <c r="E180" s="10">
        <v>7</v>
      </c>
      <c r="F180" s="10">
        <v>10.5</v>
      </c>
      <c r="G180" s="3" t="str">
        <f>HYPERLINK("https://kissht.com/careers", "Apply / Careers ↗")</f>
        <v>Apply / Careers ↗</v>
      </c>
    </row>
    <row r="181" spans="1:7" ht="22.05" customHeight="1" x14ac:dyDescent="0.3">
      <c r="A181" s="11">
        <v>178</v>
      </c>
      <c r="B181" s="12" t="s">
        <v>429</v>
      </c>
      <c r="C181" s="13" t="s">
        <v>430</v>
      </c>
      <c r="D181" s="11" t="s">
        <v>340</v>
      </c>
      <c r="E181" s="14">
        <v>6.2</v>
      </c>
      <c r="F181" s="14">
        <v>9.1999999999999993</v>
      </c>
      <c r="G181" s="2" t="str">
        <f>HYPERLINK("https://www.indiabullsfinancialservices.com/careers", "Apply / Careers ↗")</f>
        <v>Apply / Careers ↗</v>
      </c>
    </row>
    <row r="182" spans="1:7" ht="22.05" customHeight="1" x14ac:dyDescent="0.3">
      <c r="A182" s="7">
        <v>179</v>
      </c>
      <c r="B182" s="8" t="s">
        <v>431</v>
      </c>
      <c r="C182" s="9" t="s">
        <v>432</v>
      </c>
      <c r="D182" s="7" t="s">
        <v>236</v>
      </c>
      <c r="E182" s="10">
        <v>7.5</v>
      </c>
      <c r="F182" s="10">
        <v>11.2</v>
      </c>
      <c r="G182" s="3" t="str">
        <f>HYPERLINK("https://www.bajajfinserv.in/careers", "Apply / Careers ↗")</f>
        <v>Apply / Careers ↗</v>
      </c>
    </row>
    <row r="183" spans="1:7" ht="22.05" customHeight="1" x14ac:dyDescent="0.3">
      <c r="A183" s="11">
        <v>180</v>
      </c>
      <c r="B183" s="12" t="s">
        <v>433</v>
      </c>
      <c r="C183" s="13" t="s">
        <v>434</v>
      </c>
      <c r="D183" s="11" t="s">
        <v>435</v>
      </c>
      <c r="E183" s="14">
        <v>6.2</v>
      </c>
      <c r="F183" s="14">
        <v>9.5</v>
      </c>
      <c r="G183" s="2" t="str">
        <f>HYPERLINK("https://unacademy.com/careers", "Apply / Careers ↗")</f>
        <v>Apply / Careers ↗</v>
      </c>
    </row>
    <row r="184" spans="1:7" ht="22.05" customHeight="1" x14ac:dyDescent="0.3">
      <c r="A184" s="7">
        <v>181</v>
      </c>
      <c r="B184" s="8" t="s">
        <v>436</v>
      </c>
      <c r="C184" s="9" t="s">
        <v>437</v>
      </c>
      <c r="D184" s="7" t="s">
        <v>438</v>
      </c>
      <c r="E184" s="10">
        <v>6.2</v>
      </c>
      <c r="F184" s="10">
        <v>9.4</v>
      </c>
      <c r="G184" s="3" t="str">
        <f>HYPERLINK("https://www.upgrad.com/careers/", "Apply / Careers ↗")</f>
        <v>Apply / Careers ↗</v>
      </c>
    </row>
    <row r="185" spans="1:7" ht="22.05" customHeight="1" x14ac:dyDescent="0.3">
      <c r="A185" s="11">
        <v>182</v>
      </c>
      <c r="B185" s="12" t="s">
        <v>439</v>
      </c>
      <c r="C185" s="13" t="s">
        <v>440</v>
      </c>
      <c r="D185" s="11" t="s">
        <v>337</v>
      </c>
      <c r="E185" s="14">
        <v>6.6</v>
      </c>
      <c r="F185" s="14">
        <v>10</v>
      </c>
      <c r="G185" s="2" t="str">
        <f>HYPERLINK("https://emeritus.org/careers/", "Apply / Careers ↗")</f>
        <v>Apply / Careers ↗</v>
      </c>
    </row>
    <row r="186" spans="1:7" ht="22.05" customHeight="1" x14ac:dyDescent="0.3">
      <c r="A186" s="7">
        <v>183</v>
      </c>
      <c r="B186" s="8" t="s">
        <v>441</v>
      </c>
      <c r="C186" s="9" t="s">
        <v>442</v>
      </c>
      <c r="D186" s="7" t="s">
        <v>443</v>
      </c>
      <c r="E186" s="10">
        <v>5</v>
      </c>
      <c r="F186" s="10">
        <v>8.1999999999999993</v>
      </c>
      <c r="G186" s="3" t="str">
        <f>HYPERLINK("https://www.pw.live/careers", "Apply / Careers ↗")</f>
        <v>Apply / Careers ↗</v>
      </c>
    </row>
    <row r="187" spans="1:7" ht="22.05" customHeight="1" x14ac:dyDescent="0.3">
      <c r="A187" s="11">
        <v>184</v>
      </c>
      <c r="B187" s="12" t="s">
        <v>444</v>
      </c>
      <c r="C187" s="13" t="s">
        <v>445</v>
      </c>
      <c r="D187" s="11" t="s">
        <v>446</v>
      </c>
      <c r="E187" s="14">
        <v>5</v>
      </c>
      <c r="F187" s="14">
        <v>7.8</v>
      </c>
      <c r="G187" s="2" t="str">
        <f>HYPERLINK("https://www.adda247.com/jobs", "Apply / Careers ↗")</f>
        <v>Apply / Careers ↗</v>
      </c>
    </row>
    <row r="188" spans="1:7" ht="22.05" customHeight="1" x14ac:dyDescent="0.3">
      <c r="A188" s="7">
        <v>185</v>
      </c>
      <c r="B188" s="8" t="s">
        <v>447</v>
      </c>
      <c r="C188" s="9" t="s">
        <v>448</v>
      </c>
      <c r="D188" s="7" t="s">
        <v>449</v>
      </c>
      <c r="E188" s="10">
        <v>5.8</v>
      </c>
      <c r="F188" s="10">
        <v>8.8000000000000007</v>
      </c>
      <c r="G188" s="3" t="str">
        <f>HYPERLINK("https://www.vedantu.com/careers", "Apply / Careers ↗")</f>
        <v>Apply / Careers ↗</v>
      </c>
    </row>
    <row r="189" spans="1:7" ht="22.05" customHeight="1" x14ac:dyDescent="0.3">
      <c r="A189" s="11">
        <v>186</v>
      </c>
      <c r="B189" s="12" t="s">
        <v>450</v>
      </c>
      <c r="C189" s="13" t="s">
        <v>451</v>
      </c>
      <c r="D189" s="11" t="s">
        <v>337</v>
      </c>
      <c r="E189" s="14">
        <v>6.8</v>
      </c>
      <c r="F189" s="14">
        <v>10</v>
      </c>
      <c r="G189" s="2" t="str">
        <f>HYPERLINK("https://classplus.co/careers/", "Apply / Careers ↗")</f>
        <v>Apply / Careers ↗</v>
      </c>
    </row>
    <row r="190" spans="1:7" ht="22.05" customHeight="1" x14ac:dyDescent="0.3">
      <c r="A190" s="7">
        <v>187</v>
      </c>
      <c r="B190" s="8" t="s">
        <v>452</v>
      </c>
      <c r="C190" s="9" t="s">
        <v>453</v>
      </c>
      <c r="D190" s="7" t="s">
        <v>449</v>
      </c>
      <c r="E190" s="10">
        <v>5.8</v>
      </c>
      <c r="F190" s="10">
        <v>8.8000000000000007</v>
      </c>
      <c r="G190" s="3" t="str">
        <f>HYPERLINK("https://www.cuemath.com/careers/", "Apply / Careers ↗")</f>
        <v>Apply / Careers ↗</v>
      </c>
    </row>
    <row r="191" spans="1:7" ht="22.05" customHeight="1" x14ac:dyDescent="0.3">
      <c r="A191" s="11">
        <v>188</v>
      </c>
      <c r="B191" s="12" t="s">
        <v>454</v>
      </c>
      <c r="C191" s="13" t="s">
        <v>455</v>
      </c>
      <c r="D191" s="11" t="s">
        <v>345</v>
      </c>
      <c r="E191" s="14">
        <v>6</v>
      </c>
      <c r="F191" s="14">
        <v>9</v>
      </c>
      <c r="G191" s="2" t="str">
        <f>HYPERLINK("https://leadschool.in/careers/", "Apply / Careers ↗")</f>
        <v>Apply / Careers ↗</v>
      </c>
    </row>
    <row r="192" spans="1:7" ht="22.05" customHeight="1" x14ac:dyDescent="0.3">
      <c r="A192" s="7">
        <v>189</v>
      </c>
      <c r="B192" s="8" t="s">
        <v>456</v>
      </c>
      <c r="C192" s="9" t="s">
        <v>457</v>
      </c>
      <c r="D192" s="7" t="s">
        <v>353</v>
      </c>
      <c r="E192" s="10">
        <v>5.8</v>
      </c>
      <c r="F192" s="10">
        <v>8.6</v>
      </c>
      <c r="G192" s="3" t="str">
        <f>HYPERLINK("https://www.simplilearn.com/careers", "Apply / Careers ↗")</f>
        <v>Apply / Careers ↗</v>
      </c>
    </row>
    <row r="193" spans="1:7" ht="22.05" customHeight="1" x14ac:dyDescent="0.3">
      <c r="A193" s="11">
        <v>190</v>
      </c>
      <c r="B193" s="12" t="s">
        <v>458</v>
      </c>
      <c r="C193" s="13" t="s">
        <v>459</v>
      </c>
      <c r="D193" s="11" t="s">
        <v>350</v>
      </c>
      <c r="E193" s="14">
        <v>6</v>
      </c>
      <c r="F193" s="14">
        <v>8.8000000000000007</v>
      </c>
      <c r="G193" s="2" t="str">
        <f>HYPERLINK("https://www.mygreatlearning.com/careers", "Apply / Careers ↗")</f>
        <v>Apply / Careers ↗</v>
      </c>
    </row>
    <row r="194" spans="1:7" ht="22.05" customHeight="1" x14ac:dyDescent="0.3">
      <c r="A194" s="7">
        <v>191</v>
      </c>
      <c r="B194" s="8" t="s">
        <v>460</v>
      </c>
      <c r="C194" s="9" t="s">
        <v>461</v>
      </c>
      <c r="D194" s="7" t="s">
        <v>255</v>
      </c>
      <c r="E194" s="10">
        <v>7</v>
      </c>
      <c r="F194" s="10">
        <v>11</v>
      </c>
      <c r="G194" s="3" t="str">
        <f>HYPERLINK("https://www.scaler.com/careers/", "Apply / Careers ↗")</f>
        <v>Apply / Careers ↗</v>
      </c>
    </row>
    <row r="195" spans="1:7" ht="22.05" customHeight="1" x14ac:dyDescent="0.3">
      <c r="A195" s="11">
        <v>192</v>
      </c>
      <c r="B195" s="12" t="s">
        <v>462</v>
      </c>
      <c r="C195" s="13" t="s">
        <v>463</v>
      </c>
      <c r="D195" s="11" t="s">
        <v>353</v>
      </c>
      <c r="E195" s="14">
        <v>5.8</v>
      </c>
      <c r="F195" s="14">
        <v>8.6</v>
      </c>
      <c r="G195" s="2" t="str">
        <f>HYPERLINK("https://www.masaischool.com/careers", "Apply / Careers ↗")</f>
        <v>Apply / Careers ↗</v>
      </c>
    </row>
    <row r="196" spans="1:7" ht="22.05" customHeight="1" x14ac:dyDescent="0.3">
      <c r="A196" s="7">
        <v>193</v>
      </c>
      <c r="B196" s="8" t="s">
        <v>464</v>
      </c>
      <c r="C196" s="9" t="s">
        <v>465</v>
      </c>
      <c r="D196" s="7" t="s">
        <v>466</v>
      </c>
      <c r="E196" s="10">
        <v>5.4</v>
      </c>
      <c r="F196" s="10">
        <v>8.1999999999999993</v>
      </c>
      <c r="G196" s="3" t="str">
        <f>HYPERLINK("https://www.geeksforgeeks.org/careers/", "Apply / Careers ↗")</f>
        <v>Apply / Careers ↗</v>
      </c>
    </row>
    <row r="197" spans="1:7" ht="22.05" customHeight="1" x14ac:dyDescent="0.3">
      <c r="A197" s="11">
        <v>194</v>
      </c>
      <c r="B197" s="12" t="s">
        <v>467</v>
      </c>
      <c r="C197" s="13" t="s">
        <v>468</v>
      </c>
      <c r="D197" s="11" t="s">
        <v>446</v>
      </c>
      <c r="E197" s="14">
        <v>5</v>
      </c>
      <c r="F197" s="14">
        <v>7.8</v>
      </c>
      <c r="G197" s="2" t="str">
        <f>HYPERLINK("https://tutort.net/careers", "Apply / Careers ↗")</f>
        <v>Apply / Careers ↗</v>
      </c>
    </row>
    <row r="198" spans="1:7" ht="22.05" customHeight="1" x14ac:dyDescent="0.3">
      <c r="A198" s="7">
        <v>195</v>
      </c>
      <c r="B198" s="8" t="s">
        <v>469</v>
      </c>
      <c r="C198" s="9" t="s">
        <v>470</v>
      </c>
      <c r="D198" s="7" t="s">
        <v>471</v>
      </c>
      <c r="E198" s="10">
        <v>5</v>
      </c>
      <c r="F198" s="10">
        <v>7.5</v>
      </c>
      <c r="G198" s="3" t="str">
        <f>HYPERLINK("https://www.boardinfinity.com/careers", "Apply / Careers ↗")</f>
        <v>Apply / Careers ↗</v>
      </c>
    </row>
    <row r="199" spans="1:7" ht="22.05" customHeight="1" x14ac:dyDescent="0.3">
      <c r="A199" s="11">
        <v>196</v>
      </c>
      <c r="B199" s="12" t="s">
        <v>472</v>
      </c>
      <c r="C199" s="13" t="s">
        <v>473</v>
      </c>
      <c r="D199" s="11" t="s">
        <v>471</v>
      </c>
      <c r="E199" s="14">
        <v>5</v>
      </c>
      <c r="F199" s="14">
        <v>7.5</v>
      </c>
      <c r="G199" s="2" t="str">
        <f>HYPERLINK("https://internshala.com/careers", "Apply / Careers ↗")</f>
        <v>Apply / Careers ↗</v>
      </c>
    </row>
    <row r="200" spans="1:7" ht="22.05" customHeight="1" x14ac:dyDescent="0.3">
      <c r="A200" s="7">
        <v>197</v>
      </c>
      <c r="B200" s="8" t="s">
        <v>474</v>
      </c>
      <c r="C200" s="9" t="s">
        <v>475</v>
      </c>
      <c r="D200" s="7" t="s">
        <v>236</v>
      </c>
      <c r="E200" s="10">
        <v>7.5</v>
      </c>
      <c r="F200" s="10">
        <v>11.2</v>
      </c>
      <c r="G200" s="3" t="str">
        <f>HYPERLINK("https://www.infoedge.in/careers/", "Apply / Careers ↗")</f>
        <v>Apply / Careers ↗</v>
      </c>
    </row>
    <row r="201" spans="1:7" ht="22.05" customHeight="1" x14ac:dyDescent="0.3">
      <c r="A201" s="11">
        <v>198</v>
      </c>
      <c r="B201" s="12" t="s">
        <v>476</v>
      </c>
      <c r="C201" s="13" t="s">
        <v>477</v>
      </c>
      <c r="D201" s="11" t="s">
        <v>340</v>
      </c>
      <c r="E201" s="14">
        <v>6.2</v>
      </c>
      <c r="F201" s="14">
        <v>9.1999999999999993</v>
      </c>
      <c r="G201" s="2" t="str">
        <f>HYPERLINK("https://www.foundit.in/careers", "Apply / Careers ↗")</f>
        <v>Apply / Careers ↗</v>
      </c>
    </row>
    <row r="202" spans="1:7" ht="22.05" customHeight="1" x14ac:dyDescent="0.3">
      <c r="A202" s="7">
        <v>199</v>
      </c>
      <c r="B202" s="8" t="s">
        <v>478</v>
      </c>
      <c r="C202" s="9" t="s">
        <v>479</v>
      </c>
      <c r="D202" s="7" t="s">
        <v>387</v>
      </c>
      <c r="E202" s="10">
        <v>5.4</v>
      </c>
      <c r="F202" s="10">
        <v>8</v>
      </c>
      <c r="G202" s="3" t="str">
        <f>HYPERLINK("https://www.shine.com/careers/", "Apply / Careers ↗")</f>
        <v>Apply / Careers ↗</v>
      </c>
    </row>
    <row r="203" spans="1:7" ht="22.05" customHeight="1" x14ac:dyDescent="0.3">
      <c r="A203" s="11">
        <v>200</v>
      </c>
      <c r="B203" s="12" t="s">
        <v>480</v>
      </c>
      <c r="C203" s="13" t="s">
        <v>481</v>
      </c>
      <c r="D203" s="11" t="s">
        <v>482</v>
      </c>
      <c r="E203" s="14">
        <v>5.2</v>
      </c>
      <c r="F203" s="14">
        <v>7.8</v>
      </c>
      <c r="G203" s="2" t="str">
        <f>HYPERLINK("https://www.timesjobs.com/careers", "Apply / Careers ↗")</f>
        <v>Apply / Careers ↗</v>
      </c>
    </row>
    <row r="204" spans="1:7" ht="22.05" customHeight="1" x14ac:dyDescent="0.3">
      <c r="A204" s="7">
        <v>201</v>
      </c>
      <c r="B204" s="8" t="s">
        <v>483</v>
      </c>
      <c r="C204" s="9" t="s">
        <v>484</v>
      </c>
      <c r="D204" s="7" t="s">
        <v>340</v>
      </c>
      <c r="E204" s="10">
        <v>6.2</v>
      </c>
      <c r="F204" s="10">
        <v>9.1999999999999993</v>
      </c>
      <c r="G204" s="3" t="str">
        <f>HYPERLINK("https://www.hdfcbank.com/personal/about-us/careers", "Apply / Careers ↗")</f>
        <v>Apply / Careers ↗</v>
      </c>
    </row>
    <row r="205" spans="1:7" ht="22.05" customHeight="1" x14ac:dyDescent="0.3">
      <c r="A205" s="11">
        <v>202</v>
      </c>
      <c r="B205" s="12" t="s">
        <v>485</v>
      </c>
      <c r="C205" s="13" t="s">
        <v>486</v>
      </c>
      <c r="D205" s="11" t="s">
        <v>340</v>
      </c>
      <c r="E205" s="14">
        <v>6.2</v>
      </c>
      <c r="F205" s="14">
        <v>9.1999999999999993</v>
      </c>
      <c r="G205" s="2" t="str">
        <f>HYPERLINK("https://www.icicicareers.com/", "Apply / Careers ↗")</f>
        <v>Apply / Careers ↗</v>
      </c>
    </row>
    <row r="206" spans="1:7" ht="22.05" customHeight="1" x14ac:dyDescent="0.3">
      <c r="A206" s="7">
        <v>203</v>
      </c>
      <c r="B206" s="8" t="s">
        <v>487</v>
      </c>
      <c r="C206" s="9" t="s">
        <v>488</v>
      </c>
      <c r="D206" s="7" t="s">
        <v>345</v>
      </c>
      <c r="E206" s="10">
        <v>6</v>
      </c>
      <c r="F206" s="10">
        <v>9</v>
      </c>
      <c r="G206" s="3" t="str">
        <f>HYPERLINK("https://www.axisbank.com/careers", "Apply / Careers ↗")</f>
        <v>Apply / Careers ↗</v>
      </c>
    </row>
    <row r="207" spans="1:7" ht="22.05" customHeight="1" x14ac:dyDescent="0.3">
      <c r="A207" s="11">
        <v>204</v>
      </c>
      <c r="B207" s="12" t="s">
        <v>489</v>
      </c>
      <c r="C207" s="13" t="s">
        <v>490</v>
      </c>
      <c r="D207" s="11" t="s">
        <v>345</v>
      </c>
      <c r="E207" s="14">
        <v>6</v>
      </c>
      <c r="F207" s="14">
        <v>9</v>
      </c>
      <c r="G207" s="2" t="str">
        <f>HYPERLINK("https://www.kotak.com/en/careers.html", "Apply / Careers ↗")</f>
        <v>Apply / Careers ↗</v>
      </c>
    </row>
    <row r="208" spans="1:7" ht="22.05" customHeight="1" x14ac:dyDescent="0.3">
      <c r="A208" s="7">
        <v>205</v>
      </c>
      <c r="B208" s="8" t="s">
        <v>491</v>
      </c>
      <c r="C208" s="9" t="s">
        <v>492</v>
      </c>
      <c r="D208" s="7" t="s">
        <v>353</v>
      </c>
      <c r="E208" s="10">
        <v>5.8</v>
      </c>
      <c r="F208" s="10">
        <v>8.6</v>
      </c>
      <c r="G208" s="3" t="str">
        <f>HYPERLINK("https://www.indusind.com/in/en/careers.html", "Apply / Careers ↗")</f>
        <v>Apply / Careers ↗</v>
      </c>
    </row>
    <row r="209" spans="1:7" ht="22.05" customHeight="1" x14ac:dyDescent="0.3">
      <c r="A209" s="11">
        <v>206</v>
      </c>
      <c r="B209" s="12" t="s">
        <v>493</v>
      </c>
      <c r="C209" s="13" t="s">
        <v>494</v>
      </c>
      <c r="D209" s="11" t="s">
        <v>353</v>
      </c>
      <c r="E209" s="14">
        <v>5.8</v>
      </c>
      <c r="F209" s="14">
        <v>8.6</v>
      </c>
      <c r="G209" s="2" t="str">
        <f>HYPERLINK("https://www.yesbank.com/careers", "Apply / Careers ↗")</f>
        <v>Apply / Careers ↗</v>
      </c>
    </row>
    <row r="210" spans="1:7" ht="22.05" customHeight="1" x14ac:dyDescent="0.3">
      <c r="A210" s="7">
        <v>207</v>
      </c>
      <c r="B210" s="8" t="s">
        <v>495</v>
      </c>
      <c r="C210" s="9" t="s">
        <v>496</v>
      </c>
      <c r="D210" s="7" t="s">
        <v>345</v>
      </c>
      <c r="E210" s="10">
        <v>6</v>
      </c>
      <c r="F210" s="10">
        <v>9</v>
      </c>
      <c r="G210" s="3" t="str">
        <f>HYPERLINK("https://www.idfcfirstbank.com/careers", "Apply / Careers ↗")</f>
        <v>Apply / Careers ↗</v>
      </c>
    </row>
    <row r="211" spans="1:7" ht="22.05" customHeight="1" x14ac:dyDescent="0.3">
      <c r="A211" s="11">
        <v>208</v>
      </c>
      <c r="B211" s="12" t="s">
        <v>497</v>
      </c>
      <c r="C211" s="13" t="s">
        <v>498</v>
      </c>
      <c r="D211" s="11" t="s">
        <v>384</v>
      </c>
      <c r="E211" s="14">
        <v>5.5</v>
      </c>
      <c r="F211" s="14">
        <v>8.1999999999999993</v>
      </c>
      <c r="G211" s="2" t="str">
        <f>HYPERLINK("https://www.federalbank.co.in/careers", "Apply / Careers ↗")</f>
        <v>Apply / Careers ↗</v>
      </c>
    </row>
    <row r="212" spans="1:7" ht="22.05" customHeight="1" x14ac:dyDescent="0.3">
      <c r="A212" s="7">
        <v>209</v>
      </c>
      <c r="B212" s="8" t="s">
        <v>499</v>
      </c>
      <c r="C212" s="9" t="s">
        <v>500</v>
      </c>
      <c r="D212" s="7" t="s">
        <v>384</v>
      </c>
      <c r="E212" s="10">
        <v>5.5</v>
      </c>
      <c r="F212" s="10">
        <v>8.1999999999999993</v>
      </c>
      <c r="G212" s="3" t="str">
        <f>HYPERLINK("https://www.rblbank.com/careers", "Apply / Careers ↗")</f>
        <v>Apply / Careers ↗</v>
      </c>
    </row>
    <row r="213" spans="1:7" ht="22.05" customHeight="1" x14ac:dyDescent="0.3">
      <c r="A213" s="11">
        <v>210</v>
      </c>
      <c r="B213" s="12" t="s">
        <v>501</v>
      </c>
      <c r="C213" s="13" t="s">
        <v>502</v>
      </c>
      <c r="D213" s="11" t="s">
        <v>387</v>
      </c>
      <c r="E213" s="14">
        <v>5.3</v>
      </c>
      <c r="F213" s="14">
        <v>8</v>
      </c>
      <c r="G213" s="2" t="str">
        <f>HYPERLINK("https://bandhanbank.com/careers", "Apply / Careers ↗")</f>
        <v>Apply / Careers ↗</v>
      </c>
    </row>
    <row r="214" spans="1:7" ht="22.05" customHeight="1" x14ac:dyDescent="0.3">
      <c r="A214" s="7">
        <v>211</v>
      </c>
      <c r="B214" s="8" t="s">
        <v>503</v>
      </c>
      <c r="C214" s="9" t="s">
        <v>504</v>
      </c>
      <c r="D214" s="7" t="s">
        <v>387</v>
      </c>
      <c r="E214" s="10">
        <v>5.3</v>
      </c>
      <c r="F214" s="10">
        <v>8</v>
      </c>
      <c r="G214" s="3" t="str">
        <f>HYPERLINK("https://www.aubank.in/careers", "Apply / Careers ↗")</f>
        <v>Apply / Careers ↗</v>
      </c>
    </row>
    <row r="215" spans="1:7" ht="22.05" customHeight="1" x14ac:dyDescent="0.3">
      <c r="A215" s="11">
        <v>212</v>
      </c>
      <c r="B215" s="12" t="s">
        <v>505</v>
      </c>
      <c r="C215" s="13" t="s">
        <v>506</v>
      </c>
      <c r="D215" s="11" t="s">
        <v>482</v>
      </c>
      <c r="E215" s="14">
        <v>5.2</v>
      </c>
      <c r="F215" s="14">
        <v>7.8</v>
      </c>
      <c r="G215" s="2" t="str">
        <f>HYPERLINK("https://www.equitasbank.com/careers", "Apply / Careers ↗")</f>
        <v>Apply / Careers ↗</v>
      </c>
    </row>
    <row r="216" spans="1:7" ht="22.05" customHeight="1" x14ac:dyDescent="0.3">
      <c r="A216" s="7">
        <v>213</v>
      </c>
      <c r="B216" s="8" t="s">
        <v>507</v>
      </c>
      <c r="C216" s="9" t="s">
        <v>508</v>
      </c>
      <c r="D216" s="7" t="s">
        <v>482</v>
      </c>
      <c r="E216" s="10">
        <v>5.2</v>
      </c>
      <c r="F216" s="10">
        <v>7.8</v>
      </c>
      <c r="G216" s="3" t="str">
        <f>HYPERLINK("https://www.ujjivansfb.in/careers", "Apply / Careers ↗")</f>
        <v>Apply / Careers ↗</v>
      </c>
    </row>
    <row r="217" spans="1:7" ht="22.05" customHeight="1" x14ac:dyDescent="0.3">
      <c r="A217" s="11">
        <v>214</v>
      </c>
      <c r="B217" s="12" t="s">
        <v>509</v>
      </c>
      <c r="C217" s="13" t="s">
        <v>510</v>
      </c>
      <c r="D217" s="11" t="s">
        <v>392</v>
      </c>
      <c r="E217" s="14">
        <v>5.8</v>
      </c>
      <c r="F217" s="14">
        <v>8.5</v>
      </c>
      <c r="G217" s="2" t="str">
        <f>HYPERLINK("https://sbi.co.in/web/careers", "Apply / Careers ↗")</f>
        <v>Apply / Careers ↗</v>
      </c>
    </row>
    <row r="218" spans="1:7" ht="22.05" customHeight="1" x14ac:dyDescent="0.3">
      <c r="A218" s="7">
        <v>215</v>
      </c>
      <c r="B218" s="8" t="s">
        <v>511</v>
      </c>
      <c r="C218" s="9" t="s">
        <v>512</v>
      </c>
      <c r="D218" s="7" t="s">
        <v>384</v>
      </c>
      <c r="E218" s="10">
        <v>5.5</v>
      </c>
      <c r="F218" s="10">
        <v>8.1999999999999993</v>
      </c>
      <c r="G218" s="3" t="str">
        <f>HYPERLINK("https://www.bankofbaroda.in/careers", "Apply / Careers ↗")</f>
        <v>Apply / Careers ↗</v>
      </c>
    </row>
    <row r="219" spans="1:7" ht="22.05" customHeight="1" x14ac:dyDescent="0.3">
      <c r="A219" s="11">
        <v>216</v>
      </c>
      <c r="B219" s="12" t="s">
        <v>513</v>
      </c>
      <c r="C219" s="13" t="s">
        <v>514</v>
      </c>
      <c r="D219" s="11" t="s">
        <v>515</v>
      </c>
      <c r="E219" s="14">
        <v>5.2</v>
      </c>
      <c r="F219" s="14">
        <v>7.6</v>
      </c>
      <c r="G219" s="2" t="str">
        <f>HYPERLINK("https://www.pnbindia.in/recruitment.html", "Apply / Careers ↗")</f>
        <v>Apply / Careers ↗</v>
      </c>
    </row>
    <row r="220" spans="1:7" ht="22.05" customHeight="1" x14ac:dyDescent="0.3">
      <c r="A220" s="7">
        <v>217</v>
      </c>
      <c r="B220" s="8" t="s">
        <v>516</v>
      </c>
      <c r="C220" s="9" t="s">
        <v>517</v>
      </c>
      <c r="D220" s="7" t="s">
        <v>515</v>
      </c>
      <c r="E220" s="10">
        <v>5.2</v>
      </c>
      <c r="F220" s="10">
        <v>7.6</v>
      </c>
      <c r="G220" s="3" t="str">
        <f>HYPERLINK("https://canarabank.com/pages/careers", "Apply / Careers ↗")</f>
        <v>Apply / Careers ↗</v>
      </c>
    </row>
    <row r="221" spans="1:7" ht="22.05" customHeight="1" x14ac:dyDescent="0.3">
      <c r="A221" s="11">
        <v>218</v>
      </c>
      <c r="B221" s="12" t="s">
        <v>518</v>
      </c>
      <c r="C221" s="13" t="s">
        <v>519</v>
      </c>
      <c r="D221" s="11" t="s">
        <v>515</v>
      </c>
      <c r="E221" s="14">
        <v>5.2</v>
      </c>
      <c r="F221" s="14">
        <v>7.6</v>
      </c>
      <c r="G221" s="2" t="str">
        <f>HYPERLINK("https://www.unionbankofindia.co.in/english/careers.aspx", "Apply / Careers ↗")</f>
        <v>Apply / Careers ↗</v>
      </c>
    </row>
    <row r="222" spans="1:7" ht="22.05" customHeight="1" x14ac:dyDescent="0.3">
      <c r="A222" s="7">
        <v>219</v>
      </c>
      <c r="B222" s="8" t="s">
        <v>520</v>
      </c>
      <c r="C222" s="9" t="s">
        <v>521</v>
      </c>
      <c r="D222" s="7" t="s">
        <v>522</v>
      </c>
      <c r="E222" s="10">
        <v>5</v>
      </c>
      <c r="F222" s="10">
        <v>7.4</v>
      </c>
      <c r="G222" s="3" t="str">
        <f>HYPERLINK("https://www.indianbank.in/career/", "Apply / Careers ↗")</f>
        <v>Apply / Careers ↗</v>
      </c>
    </row>
    <row r="223" spans="1:7" ht="22.05" customHeight="1" x14ac:dyDescent="0.3">
      <c r="A223" s="11">
        <v>220</v>
      </c>
      <c r="B223" s="12" t="s">
        <v>523</v>
      </c>
      <c r="C223" s="13" t="s">
        <v>524</v>
      </c>
      <c r="D223" s="11" t="s">
        <v>522</v>
      </c>
      <c r="E223" s="14">
        <v>5</v>
      </c>
      <c r="F223" s="14">
        <v>7.4</v>
      </c>
      <c r="G223" s="2" t="str">
        <f>HYPERLINK("https://bankofindia.co.in/career", "Apply / Careers ↗")</f>
        <v>Apply / Careers ↗</v>
      </c>
    </row>
    <row r="224" spans="1:7" ht="22.05" customHeight="1" x14ac:dyDescent="0.3">
      <c r="A224" s="7">
        <v>221</v>
      </c>
      <c r="B224" s="8" t="s">
        <v>525</v>
      </c>
      <c r="C224" s="9" t="s">
        <v>526</v>
      </c>
      <c r="D224" s="7" t="s">
        <v>340</v>
      </c>
      <c r="E224" s="10">
        <v>6.2</v>
      </c>
      <c r="F224" s="10">
        <v>9.1999999999999993</v>
      </c>
      <c r="G224" s="3" t="str">
        <f>HYPERLINK("https://www.tatacapital.com/careers.html", "Apply / Careers ↗")</f>
        <v>Apply / Careers ↗</v>
      </c>
    </row>
    <row r="225" spans="1:7" ht="22.05" customHeight="1" x14ac:dyDescent="0.3">
      <c r="A225" s="11">
        <v>222</v>
      </c>
      <c r="B225" s="12" t="s">
        <v>527</v>
      </c>
      <c r="C225" s="13" t="s">
        <v>528</v>
      </c>
      <c r="D225" s="11" t="s">
        <v>340</v>
      </c>
      <c r="E225" s="14">
        <v>6.2</v>
      </c>
      <c r="F225" s="14">
        <v>9.1999999999999993</v>
      </c>
      <c r="G225" s="2" t="str">
        <f>HYPERLINK("https://careers.adityabirlacapital.com/", "Apply / Careers ↗")</f>
        <v>Apply / Careers ↗</v>
      </c>
    </row>
    <row r="226" spans="1:7" ht="22.05" customHeight="1" x14ac:dyDescent="0.3">
      <c r="A226" s="7">
        <v>223</v>
      </c>
      <c r="B226" s="8" t="s">
        <v>529</v>
      </c>
      <c r="C226" s="9" t="s">
        <v>530</v>
      </c>
      <c r="D226" s="7" t="s">
        <v>345</v>
      </c>
      <c r="E226" s="10">
        <v>6</v>
      </c>
      <c r="F226" s="10">
        <v>9</v>
      </c>
      <c r="G226" s="3" t="str">
        <f>HYPERLINK("https://www.ltfs.com/careers", "Apply / Careers ↗")</f>
        <v>Apply / Careers ↗</v>
      </c>
    </row>
    <row r="227" spans="1:7" ht="22.05" customHeight="1" x14ac:dyDescent="0.3">
      <c r="A227" s="11">
        <v>224</v>
      </c>
      <c r="B227" s="12" t="s">
        <v>531</v>
      </c>
      <c r="C227" s="13" t="s">
        <v>532</v>
      </c>
      <c r="D227" s="11" t="s">
        <v>345</v>
      </c>
      <c r="E227" s="14">
        <v>6</v>
      </c>
      <c r="F227" s="14">
        <v>9</v>
      </c>
      <c r="G227" s="2" t="str">
        <f>HYPERLINK("https://www.piramal.com/careers/", "Apply / Careers ↗")</f>
        <v>Apply / Careers ↗</v>
      </c>
    </row>
    <row r="228" spans="1:7" ht="22.05" customHeight="1" x14ac:dyDescent="0.3">
      <c r="A228" s="7">
        <v>225</v>
      </c>
      <c r="B228" s="8" t="s">
        <v>533</v>
      </c>
      <c r="C228" s="9" t="s">
        <v>534</v>
      </c>
      <c r="D228" s="7" t="s">
        <v>353</v>
      </c>
      <c r="E228" s="10">
        <v>5.8</v>
      </c>
      <c r="F228" s="10">
        <v>8.6</v>
      </c>
      <c r="G228" s="3" t="str">
        <f>HYPERLINK("https://www.cholamandalam.com/careers", "Apply / Careers ↗")</f>
        <v>Apply / Careers ↗</v>
      </c>
    </row>
    <row r="229" spans="1:7" ht="22.05" customHeight="1" x14ac:dyDescent="0.3">
      <c r="A229" s="11">
        <v>226</v>
      </c>
      <c r="B229" s="12" t="s">
        <v>535</v>
      </c>
      <c r="C229" s="13" t="s">
        <v>536</v>
      </c>
      <c r="D229" s="11" t="s">
        <v>353</v>
      </c>
      <c r="E229" s="14">
        <v>5.8</v>
      </c>
      <c r="F229" s="14">
        <v>8.6</v>
      </c>
      <c r="G229" s="2" t="str">
        <f>HYPERLINK("https://www.shriramfinance.in/careers", "Apply / Careers ↗")</f>
        <v>Apply / Careers ↗</v>
      </c>
    </row>
    <row r="230" spans="1:7" ht="22.05" customHeight="1" x14ac:dyDescent="0.3">
      <c r="A230" s="7">
        <v>227</v>
      </c>
      <c r="B230" s="8" t="s">
        <v>537</v>
      </c>
      <c r="C230" s="9" t="s">
        <v>538</v>
      </c>
      <c r="D230" s="7" t="s">
        <v>387</v>
      </c>
      <c r="E230" s="10">
        <v>5.3</v>
      </c>
      <c r="F230" s="10">
        <v>8</v>
      </c>
      <c r="G230" s="3" t="str">
        <f>HYPERLINK("https://www.muthootfinance.com/careers", "Apply / Careers ↗")</f>
        <v>Apply / Careers ↗</v>
      </c>
    </row>
    <row r="231" spans="1:7" ht="22.05" customHeight="1" x14ac:dyDescent="0.3">
      <c r="A231" s="11">
        <v>228</v>
      </c>
      <c r="B231" s="12" t="s">
        <v>539</v>
      </c>
      <c r="C231" s="13" t="s">
        <v>540</v>
      </c>
      <c r="D231" s="11" t="s">
        <v>482</v>
      </c>
      <c r="E231" s="14">
        <v>5.2</v>
      </c>
      <c r="F231" s="14">
        <v>7.8</v>
      </c>
      <c r="G231" s="2" t="str">
        <f>HYPERLINK("https://www.manappuram.com/careers.html", "Apply / Careers ↗")</f>
        <v>Apply / Careers ↗</v>
      </c>
    </row>
    <row r="232" spans="1:7" ht="22.05" customHeight="1" x14ac:dyDescent="0.3">
      <c r="A232" s="7">
        <v>229</v>
      </c>
      <c r="B232" s="8" t="s">
        <v>541</v>
      </c>
      <c r="C232" s="9" t="s">
        <v>542</v>
      </c>
      <c r="D232" s="7" t="s">
        <v>387</v>
      </c>
      <c r="E232" s="10">
        <v>5.3</v>
      </c>
      <c r="F232" s="10">
        <v>8</v>
      </c>
      <c r="G232" s="3" t="str">
        <f>HYPERLINK("https://www.sundaramfinance.in/careers", "Apply / Careers ↗")</f>
        <v>Apply / Careers ↗</v>
      </c>
    </row>
    <row r="233" spans="1:7" ht="22.05" customHeight="1" x14ac:dyDescent="0.3">
      <c r="A233" s="11">
        <v>230</v>
      </c>
      <c r="B233" s="12" t="s">
        <v>543</v>
      </c>
      <c r="C233" s="13" t="s">
        <v>544</v>
      </c>
      <c r="D233" s="11" t="s">
        <v>353</v>
      </c>
      <c r="E233" s="14">
        <v>5.8</v>
      </c>
      <c r="F233" s="14">
        <v>8.6</v>
      </c>
      <c r="G233" s="2" t="str">
        <f>HYPERLINK("https://www.mahindrafinance.com/careers", "Apply / Careers ↗")</f>
        <v>Apply / Careers ↗</v>
      </c>
    </row>
    <row r="234" spans="1:7" ht="22.05" customHeight="1" x14ac:dyDescent="0.3">
      <c r="A234" s="7">
        <v>231</v>
      </c>
      <c r="B234" s="8" t="s">
        <v>545</v>
      </c>
      <c r="C234" s="9" t="s">
        <v>546</v>
      </c>
      <c r="D234" s="7" t="s">
        <v>345</v>
      </c>
      <c r="E234" s="10">
        <v>6</v>
      </c>
      <c r="F234" s="10">
        <v>9</v>
      </c>
      <c r="G234" s="3" t="str">
        <f>HYPERLINK("https://www.hdfclife.com/about-us/careers", "Apply / Careers ↗")</f>
        <v>Apply / Careers ↗</v>
      </c>
    </row>
    <row r="235" spans="1:7" ht="22.05" customHeight="1" x14ac:dyDescent="0.3">
      <c r="A235" s="11">
        <v>232</v>
      </c>
      <c r="B235" s="12" t="s">
        <v>547</v>
      </c>
      <c r="C235" s="13" t="s">
        <v>548</v>
      </c>
      <c r="D235" s="11" t="s">
        <v>345</v>
      </c>
      <c r="E235" s="14">
        <v>6</v>
      </c>
      <c r="F235" s="14">
        <v>9</v>
      </c>
      <c r="G235" s="2" t="str">
        <f>HYPERLINK("https://www.iciciprulife.com/about-us/careers.html", "Apply / Careers ↗")</f>
        <v>Apply / Careers ↗</v>
      </c>
    </row>
    <row r="236" spans="1:7" ht="22.05" customHeight="1" x14ac:dyDescent="0.3">
      <c r="A236" s="7">
        <v>233</v>
      </c>
      <c r="B236" s="8" t="s">
        <v>549</v>
      </c>
      <c r="C236" s="9" t="s">
        <v>550</v>
      </c>
      <c r="D236" s="7" t="s">
        <v>353</v>
      </c>
      <c r="E236" s="10">
        <v>5.8</v>
      </c>
      <c r="F236" s="10">
        <v>8.6</v>
      </c>
      <c r="G236" s="3" t="str">
        <f>HYPERLINK("https://www.sbilife.co.in/en/about-us/careers", "Apply / Careers ↗")</f>
        <v>Apply / Careers ↗</v>
      </c>
    </row>
    <row r="237" spans="1:7" ht="22.05" customHeight="1" x14ac:dyDescent="0.3">
      <c r="A237" s="11">
        <v>234</v>
      </c>
      <c r="B237" s="12" t="s">
        <v>551</v>
      </c>
      <c r="C237" s="13" t="s">
        <v>552</v>
      </c>
      <c r="D237" s="11" t="s">
        <v>353</v>
      </c>
      <c r="E237" s="14">
        <v>5.8</v>
      </c>
      <c r="F237" s="14">
        <v>8.6</v>
      </c>
      <c r="G237" s="2" t="str">
        <f>HYPERLINK("https://www.maxlifeinsurance.com/careers", "Apply / Careers ↗")</f>
        <v>Apply / Careers ↗</v>
      </c>
    </row>
    <row r="238" spans="1:7" ht="22.05" customHeight="1" x14ac:dyDescent="0.3">
      <c r="A238" s="7">
        <v>235</v>
      </c>
      <c r="B238" s="8" t="s">
        <v>553</v>
      </c>
      <c r="C238" s="9" t="s">
        <v>554</v>
      </c>
      <c r="D238" s="7" t="s">
        <v>353</v>
      </c>
      <c r="E238" s="10">
        <v>5.8</v>
      </c>
      <c r="F238" s="10">
        <v>8.6</v>
      </c>
      <c r="G238" s="3" t="str">
        <f>HYPERLINK("https://www.tataaia.com/about-us/careers.html", "Apply / Careers ↗")</f>
        <v>Apply / Careers ↗</v>
      </c>
    </row>
    <row r="239" spans="1:7" ht="22.05" customHeight="1" x14ac:dyDescent="0.3">
      <c r="A239" s="11">
        <v>236</v>
      </c>
      <c r="B239" s="12" t="s">
        <v>555</v>
      </c>
      <c r="C239" s="13" t="s">
        <v>556</v>
      </c>
      <c r="D239" s="11" t="s">
        <v>353</v>
      </c>
      <c r="E239" s="14">
        <v>5.8</v>
      </c>
      <c r="F239" s="14">
        <v>8.6</v>
      </c>
      <c r="G239" s="2" t="str">
        <f>HYPERLINK("https://www.bajajallianz.com/careers.html", "Apply / Careers ↗")</f>
        <v>Apply / Careers ↗</v>
      </c>
    </row>
    <row r="240" spans="1:7" ht="22.05" customHeight="1" x14ac:dyDescent="0.3">
      <c r="A240" s="7">
        <v>237</v>
      </c>
      <c r="B240" s="8" t="s">
        <v>557</v>
      </c>
      <c r="C240" s="9" t="s">
        <v>558</v>
      </c>
      <c r="D240" s="7" t="s">
        <v>345</v>
      </c>
      <c r="E240" s="10">
        <v>6</v>
      </c>
      <c r="F240" s="10">
        <v>9</v>
      </c>
      <c r="G240" s="3" t="str">
        <f>HYPERLINK("https://www.icicilombard.com/careers", "Apply / Careers ↗")</f>
        <v>Apply / Careers ↗</v>
      </c>
    </row>
    <row r="241" spans="1:7" ht="22.05" customHeight="1" x14ac:dyDescent="0.3">
      <c r="A241" s="11">
        <v>238</v>
      </c>
      <c r="B241" s="12" t="s">
        <v>559</v>
      </c>
      <c r="C241" s="13" t="s">
        <v>560</v>
      </c>
      <c r="D241" s="11" t="s">
        <v>384</v>
      </c>
      <c r="E241" s="14">
        <v>5.5</v>
      </c>
      <c r="F241" s="14">
        <v>8.1999999999999993</v>
      </c>
      <c r="G241" s="2" t="str">
        <f>HYPERLINK("https://www.starhealth.in/careers", "Apply / Careers ↗")</f>
        <v>Apply / Careers ↗</v>
      </c>
    </row>
    <row r="242" spans="1:7" ht="22.05" customHeight="1" x14ac:dyDescent="0.3">
      <c r="A242" s="7">
        <v>239</v>
      </c>
      <c r="B242" s="8" t="s">
        <v>561</v>
      </c>
      <c r="C242" s="9" t="s">
        <v>562</v>
      </c>
      <c r="D242" s="7" t="s">
        <v>384</v>
      </c>
      <c r="E242" s="10">
        <v>5.5</v>
      </c>
      <c r="F242" s="10">
        <v>8.1999999999999993</v>
      </c>
      <c r="G242" s="3" t="str">
        <f>HYPERLINK("https://www.careinsurance.com/careers.html", "Apply / Careers ↗")</f>
        <v>Apply / Careers ↗</v>
      </c>
    </row>
    <row r="243" spans="1:7" ht="22.05" customHeight="1" x14ac:dyDescent="0.3">
      <c r="A243" s="11">
        <v>240</v>
      </c>
      <c r="B243" s="12" t="s">
        <v>563</v>
      </c>
      <c r="C243" s="13" t="s">
        <v>564</v>
      </c>
      <c r="D243" s="11" t="s">
        <v>384</v>
      </c>
      <c r="E243" s="14">
        <v>5.5</v>
      </c>
      <c r="F243" s="14">
        <v>8.1999999999999993</v>
      </c>
      <c r="G243" s="2" t="str">
        <f>HYPERLINK("https://www.nivabupa.com/careers.html", "Apply / Careers ↗")</f>
        <v>Apply / Careers ↗</v>
      </c>
    </row>
    <row r="244" spans="1:7" ht="22.05" customHeight="1" x14ac:dyDescent="0.3">
      <c r="A244" s="7">
        <v>241</v>
      </c>
      <c r="B244" s="8" t="s">
        <v>565</v>
      </c>
      <c r="C244" s="9" t="s">
        <v>566</v>
      </c>
      <c r="D244" s="7" t="s">
        <v>353</v>
      </c>
      <c r="E244" s="10">
        <v>5.8</v>
      </c>
      <c r="F244" s="10">
        <v>8.6</v>
      </c>
      <c r="G244" s="3" t="str">
        <f>HYPERLINK("https://www.hdfcergo.com/careers", "Apply / Careers ↗")</f>
        <v>Apply / Careers ↗</v>
      </c>
    </row>
    <row r="245" spans="1:7" ht="22.05" customHeight="1" x14ac:dyDescent="0.3">
      <c r="A245" s="11">
        <v>242</v>
      </c>
      <c r="B245" s="12" t="s">
        <v>567</v>
      </c>
      <c r="C245" s="13" t="s">
        <v>568</v>
      </c>
      <c r="D245" s="11" t="s">
        <v>337</v>
      </c>
      <c r="E245" s="14">
        <v>6.6</v>
      </c>
      <c r="F245" s="14">
        <v>10</v>
      </c>
      <c r="G245" s="2" t="str">
        <f>HYPERLINK("https://www.godigit.com/work-with-us", "Apply / Careers ↗")</f>
        <v>Apply / Careers ↗</v>
      </c>
    </row>
    <row r="246" spans="1:7" ht="22.05" customHeight="1" x14ac:dyDescent="0.3">
      <c r="A246" s="7">
        <v>243</v>
      </c>
      <c r="B246" s="8" t="s">
        <v>569</v>
      </c>
      <c r="C246" s="9" t="s">
        <v>570</v>
      </c>
      <c r="D246" s="7" t="s">
        <v>287</v>
      </c>
      <c r="E246" s="10">
        <v>7</v>
      </c>
      <c r="F246" s="10">
        <v>10.5</v>
      </c>
      <c r="G246" s="3" t="str">
        <f>HYPERLINK("https://www.acko.com/careers/", "Apply / Careers ↗")</f>
        <v>Apply / Careers ↗</v>
      </c>
    </row>
    <row r="247" spans="1:7" ht="22.05" customHeight="1" x14ac:dyDescent="0.3">
      <c r="A247" s="11">
        <v>244</v>
      </c>
      <c r="B247" s="12" t="s">
        <v>571</v>
      </c>
      <c r="C247" s="13" t="s">
        <v>572</v>
      </c>
      <c r="D247" s="11" t="s">
        <v>384</v>
      </c>
      <c r="E247" s="14">
        <v>5.5</v>
      </c>
      <c r="F247" s="14">
        <v>8.1999999999999993</v>
      </c>
      <c r="G247" s="2" t="str">
        <f>HYPERLINK("https://www.kotakgeneral.com/careers", "Apply / Careers ↗")</f>
        <v>Apply / Careers ↗</v>
      </c>
    </row>
    <row r="248" spans="1:7" ht="22.05" customHeight="1" x14ac:dyDescent="0.3">
      <c r="A248" s="7">
        <v>245</v>
      </c>
      <c r="B248" s="8" t="s">
        <v>573</v>
      </c>
      <c r="C248" s="9" t="s">
        <v>574</v>
      </c>
      <c r="D248" s="7" t="s">
        <v>387</v>
      </c>
      <c r="E248" s="10">
        <v>5.3</v>
      </c>
      <c r="F248" s="10">
        <v>8</v>
      </c>
      <c r="G248" s="3" t="str">
        <f>HYPERLINK("https://www.reliancegeneral.co.in/Insurance/About-Us/Careers.aspx", "Apply / Careers ↗")</f>
        <v>Apply / Careers ↗</v>
      </c>
    </row>
    <row r="249" spans="1:7" ht="22.05" customHeight="1" x14ac:dyDescent="0.3">
      <c r="A249" s="11">
        <v>246</v>
      </c>
      <c r="B249" s="12" t="s">
        <v>575</v>
      </c>
      <c r="C249" s="13" t="s">
        <v>576</v>
      </c>
      <c r="D249" s="11" t="s">
        <v>353</v>
      </c>
      <c r="E249" s="14">
        <v>5.8</v>
      </c>
      <c r="F249" s="14">
        <v>8.6</v>
      </c>
      <c r="G249" s="2" t="str">
        <f>HYPERLINK("https://mf.nipponindia.im/Careers", "Apply / Careers ↗")</f>
        <v>Apply / Careers ↗</v>
      </c>
    </row>
    <row r="250" spans="1:7" ht="22.05" customHeight="1" x14ac:dyDescent="0.3">
      <c r="A250" s="7">
        <v>247</v>
      </c>
      <c r="B250" s="8" t="s">
        <v>577</v>
      </c>
      <c r="C250" s="9" t="s">
        <v>578</v>
      </c>
      <c r="D250" s="7" t="s">
        <v>345</v>
      </c>
      <c r="E250" s="10">
        <v>6</v>
      </c>
      <c r="F250" s="10">
        <v>9</v>
      </c>
      <c r="G250" s="3" t="str">
        <f>HYPERLINK("https://www.hdfcfund.com/careers", "Apply / Careers ↗")</f>
        <v>Apply / Careers ↗</v>
      </c>
    </row>
    <row r="251" spans="1:7" ht="22.05" customHeight="1" x14ac:dyDescent="0.3">
      <c r="A251" s="11">
        <v>248</v>
      </c>
      <c r="B251" s="12" t="s">
        <v>579</v>
      </c>
      <c r="C251" s="13" t="s">
        <v>580</v>
      </c>
      <c r="D251" s="11" t="s">
        <v>345</v>
      </c>
      <c r="E251" s="14">
        <v>6</v>
      </c>
      <c r="F251" s="14">
        <v>9</v>
      </c>
      <c r="G251" s="2" t="str">
        <f>HYPERLINK("https://www.icicipruamc.com/careers", "Apply / Careers ↗")</f>
        <v>Apply / Careers ↗</v>
      </c>
    </row>
    <row r="252" spans="1:7" ht="22.05" customHeight="1" x14ac:dyDescent="0.3">
      <c r="A252" s="7">
        <v>249</v>
      </c>
      <c r="B252" s="8" t="s">
        <v>581</v>
      </c>
      <c r="C252" s="9" t="s">
        <v>582</v>
      </c>
      <c r="D252" s="7" t="s">
        <v>353</v>
      </c>
      <c r="E252" s="10">
        <v>5.8</v>
      </c>
      <c r="F252" s="10">
        <v>8.6</v>
      </c>
      <c r="G252" s="3" t="str">
        <f>HYPERLINK("https://www.sbimf.com/careers", "Apply / Careers ↗")</f>
        <v>Apply / Careers ↗</v>
      </c>
    </row>
    <row r="253" spans="1:7" ht="22.05" customHeight="1" x14ac:dyDescent="0.3">
      <c r="A253" s="11">
        <v>250</v>
      </c>
      <c r="B253" s="12" t="s">
        <v>583</v>
      </c>
      <c r="C253" s="13" t="s">
        <v>584</v>
      </c>
      <c r="D253" s="11" t="s">
        <v>384</v>
      </c>
      <c r="E253" s="14">
        <v>5.5</v>
      </c>
      <c r="F253" s="14">
        <v>8.1999999999999993</v>
      </c>
      <c r="G253" s="2" t="str">
        <f>HYPERLINK("https://www.utimf.com/careers/", "Apply / Careers ↗")</f>
        <v>Apply / Careers ↗</v>
      </c>
    </row>
    <row r="254" spans="1:7" ht="22.05" customHeight="1" x14ac:dyDescent="0.3">
      <c r="A254" s="7">
        <v>251</v>
      </c>
      <c r="B254" s="8" t="s">
        <v>585</v>
      </c>
      <c r="C254" s="9" t="s">
        <v>586</v>
      </c>
      <c r="D254" s="7" t="s">
        <v>353</v>
      </c>
      <c r="E254" s="10">
        <v>5.8</v>
      </c>
      <c r="F254" s="10">
        <v>8.6</v>
      </c>
      <c r="G254" s="3" t="str">
        <f>HYPERLINK("https://www.motilaloswal.com/careers", "Apply / Careers ↗")</f>
        <v>Apply / Careers ↗</v>
      </c>
    </row>
    <row r="255" spans="1:7" ht="22.05" customHeight="1" x14ac:dyDescent="0.3">
      <c r="A255" s="11">
        <v>252</v>
      </c>
      <c r="B255" s="12" t="s">
        <v>587</v>
      </c>
      <c r="C255" s="13" t="s">
        <v>588</v>
      </c>
      <c r="D255" s="11" t="s">
        <v>387</v>
      </c>
      <c r="E255" s="14">
        <v>5.3</v>
      </c>
      <c r="F255" s="14">
        <v>8</v>
      </c>
      <c r="G255" s="2" t="str">
        <f>HYPERLINK("https://www.sharekhan.com/career", "Apply / Careers ↗")</f>
        <v>Apply / Careers ↗</v>
      </c>
    </row>
    <row r="256" spans="1:7" ht="22.05" customHeight="1" x14ac:dyDescent="0.3">
      <c r="A256" s="7">
        <v>253</v>
      </c>
      <c r="B256" s="8" t="s">
        <v>589</v>
      </c>
      <c r="C256" s="9" t="s">
        <v>590</v>
      </c>
      <c r="D256" s="7" t="s">
        <v>255</v>
      </c>
      <c r="E256" s="10">
        <v>7</v>
      </c>
      <c r="F256" s="10">
        <v>11</v>
      </c>
      <c r="G256" s="3" t="str">
        <f>HYPERLINK("https://www.angelone.in/careers", "Apply / Careers ↗")</f>
        <v>Apply / Careers ↗</v>
      </c>
    </row>
    <row r="257" spans="1:7" ht="22.05" customHeight="1" x14ac:dyDescent="0.3">
      <c r="A257" s="11">
        <v>254</v>
      </c>
      <c r="B257" s="12" t="s">
        <v>591</v>
      </c>
      <c r="C257" s="13" t="s">
        <v>592</v>
      </c>
      <c r="D257" s="11" t="s">
        <v>255</v>
      </c>
      <c r="E257" s="14">
        <v>7</v>
      </c>
      <c r="F257" s="14">
        <v>11</v>
      </c>
      <c r="G257" s="2" t="str">
        <f>HYPERLINK("https://upstox.com/careers/", "Apply / Careers ↗")</f>
        <v>Apply / Careers ↗</v>
      </c>
    </row>
    <row r="258" spans="1:7" ht="22.05" customHeight="1" x14ac:dyDescent="0.3">
      <c r="A258" s="7">
        <v>255</v>
      </c>
      <c r="B258" s="8" t="s">
        <v>593</v>
      </c>
      <c r="C258" s="9" t="s">
        <v>594</v>
      </c>
      <c r="D258" s="7" t="s">
        <v>353</v>
      </c>
      <c r="E258" s="10">
        <v>5.8</v>
      </c>
      <c r="F258" s="10">
        <v>8.6</v>
      </c>
      <c r="G258" s="3" t="str">
        <f>HYPERLINK("https://www.5paisa.com/careers", "Apply / Careers ↗")</f>
        <v>Apply / Careers ↗</v>
      </c>
    </row>
    <row r="259" spans="1:7" ht="22.05" customHeight="1" x14ac:dyDescent="0.3">
      <c r="A259" s="11">
        <v>256</v>
      </c>
      <c r="B259" s="12" t="s">
        <v>595</v>
      </c>
      <c r="C259" s="13" t="s">
        <v>596</v>
      </c>
      <c r="D259" s="11" t="s">
        <v>337</v>
      </c>
      <c r="E259" s="14">
        <v>6.6</v>
      </c>
      <c r="F259" s="14">
        <v>10</v>
      </c>
      <c r="G259" s="2" t="str">
        <f>HYPERLINK("https://dhan.co/careers/", "Apply / Careers ↗")</f>
        <v>Apply / Careers ↗</v>
      </c>
    </row>
    <row r="260" spans="1:7" ht="22.05" customHeight="1" x14ac:dyDescent="0.3">
      <c r="A260" s="7">
        <v>257</v>
      </c>
      <c r="B260" s="8" t="s">
        <v>597</v>
      </c>
      <c r="C260" s="9" t="s">
        <v>598</v>
      </c>
      <c r="D260" s="7" t="s">
        <v>482</v>
      </c>
      <c r="E260" s="10">
        <v>5.2</v>
      </c>
      <c r="F260" s="10">
        <v>7.8</v>
      </c>
      <c r="G260" s="3" t="str">
        <f>HYPERLINK("https://www.geojit.com/careers", "Apply / Careers ↗")</f>
        <v>Apply / Careers ↗</v>
      </c>
    </row>
    <row r="261" spans="1:7" ht="22.05" customHeight="1" x14ac:dyDescent="0.3">
      <c r="A261" s="11">
        <v>258</v>
      </c>
      <c r="B261" s="12" t="s">
        <v>599</v>
      </c>
      <c r="C261" s="13" t="s">
        <v>600</v>
      </c>
      <c r="D261" s="11" t="s">
        <v>384</v>
      </c>
      <c r="E261" s="14">
        <v>5.5</v>
      </c>
      <c r="F261" s="14">
        <v>8.1999999999999993</v>
      </c>
      <c r="G261" s="2" t="str">
        <f>HYPERLINK("https://www.iiflsecurities.com/careers", "Apply / Careers ↗")</f>
        <v>Apply / Careers ↗</v>
      </c>
    </row>
    <row r="262" spans="1:7" ht="22.05" customHeight="1" x14ac:dyDescent="0.3">
      <c r="A262" s="7">
        <v>259</v>
      </c>
      <c r="B262" s="8" t="s">
        <v>601</v>
      </c>
      <c r="C262" s="9" t="s">
        <v>602</v>
      </c>
      <c r="D262" s="7" t="s">
        <v>353</v>
      </c>
      <c r="E262" s="10">
        <v>5.8</v>
      </c>
      <c r="F262" s="10">
        <v>8.6</v>
      </c>
      <c r="G262" s="3" t="str">
        <f>HYPERLINK("https://www.jmfl.com/careers", "Apply / Careers ↗")</f>
        <v>Apply / Careers ↗</v>
      </c>
    </row>
    <row r="263" spans="1:7" ht="22.05" customHeight="1" x14ac:dyDescent="0.3">
      <c r="A263" s="11">
        <v>260</v>
      </c>
      <c r="B263" s="12" t="s">
        <v>603</v>
      </c>
      <c r="C263" s="13" t="s">
        <v>604</v>
      </c>
      <c r="D263" s="11" t="s">
        <v>353</v>
      </c>
      <c r="E263" s="14">
        <v>5.8</v>
      </c>
      <c r="F263" s="14">
        <v>8.6</v>
      </c>
      <c r="G263" s="2" t="str">
        <f>HYPERLINK("https://www.edelweissfin.com/careers", "Apply / Careers ↗")</f>
        <v>Apply / Careers ↗</v>
      </c>
    </row>
    <row r="264" spans="1:7" ht="22.05" customHeight="1" x14ac:dyDescent="0.3">
      <c r="A264" s="7">
        <v>261</v>
      </c>
      <c r="B264" s="8" t="s">
        <v>605</v>
      </c>
      <c r="C264" s="9" t="s">
        <v>606</v>
      </c>
      <c r="D264" s="7" t="s">
        <v>337</v>
      </c>
      <c r="E264" s="10">
        <v>6.6</v>
      </c>
      <c r="F264" s="10">
        <v>10</v>
      </c>
      <c r="G264" s="3" t="str">
        <f>HYPERLINK("https://www.shiprocket.in/careers/", "Apply / Careers ↗")</f>
        <v>Apply / Careers ↗</v>
      </c>
    </row>
    <row r="265" spans="1:7" ht="22.05" customHeight="1" x14ac:dyDescent="0.3">
      <c r="A265" s="11">
        <v>262</v>
      </c>
      <c r="B265" s="12" t="s">
        <v>607</v>
      </c>
      <c r="C265" s="13" t="s">
        <v>608</v>
      </c>
      <c r="D265" s="11" t="s">
        <v>337</v>
      </c>
      <c r="E265" s="14">
        <v>6.6</v>
      </c>
      <c r="F265" s="14">
        <v>10</v>
      </c>
      <c r="G265" s="2" t="str">
        <f>HYPERLINK("https://www.shadowfax.in/careers", "Apply / Careers ↗")</f>
        <v>Apply / Careers ↗</v>
      </c>
    </row>
    <row r="266" spans="1:7" ht="22.05" customHeight="1" x14ac:dyDescent="0.3">
      <c r="A266" s="7">
        <v>263</v>
      </c>
      <c r="B266" s="8" t="s">
        <v>609</v>
      </c>
      <c r="C266" s="9" t="s">
        <v>610</v>
      </c>
      <c r="D266" s="7" t="s">
        <v>337</v>
      </c>
      <c r="E266" s="10">
        <v>6.6</v>
      </c>
      <c r="F266" s="10">
        <v>10</v>
      </c>
      <c r="G266" s="3" t="str">
        <f>HYPERLINK("https://porter.in/careers", "Apply / Careers ↗")</f>
        <v>Apply / Careers ↗</v>
      </c>
    </row>
    <row r="267" spans="1:7" ht="22.05" customHeight="1" x14ac:dyDescent="0.3">
      <c r="A267" s="11">
        <v>264</v>
      </c>
      <c r="B267" s="12" t="s">
        <v>611</v>
      </c>
      <c r="C267" s="13" t="s">
        <v>612</v>
      </c>
      <c r="D267" s="11" t="s">
        <v>337</v>
      </c>
      <c r="E267" s="14">
        <v>6.6</v>
      </c>
      <c r="F267" s="14">
        <v>10</v>
      </c>
      <c r="G267" s="2" t="str">
        <f>HYPERLINK("https://www.blackbuck.com/careers.html", "Apply / Careers ↗")</f>
        <v>Apply / Careers ↗</v>
      </c>
    </row>
    <row r="268" spans="1:7" ht="22.05" customHeight="1" x14ac:dyDescent="0.3">
      <c r="A268" s="7">
        <v>265</v>
      </c>
      <c r="B268" s="8" t="s">
        <v>613</v>
      </c>
      <c r="C268" s="9" t="s">
        <v>614</v>
      </c>
      <c r="D268" s="7" t="s">
        <v>345</v>
      </c>
      <c r="E268" s="10">
        <v>6</v>
      </c>
      <c r="F268" s="10">
        <v>9</v>
      </c>
      <c r="G268" s="3" t="str">
        <f>HYPERLINK("https://www.rivigo.com/careers", "Apply / Careers ↗")</f>
        <v>Apply / Careers ↗</v>
      </c>
    </row>
    <row r="269" spans="1:7" ht="22.05" customHeight="1" x14ac:dyDescent="0.3">
      <c r="A269" s="11">
        <v>266</v>
      </c>
      <c r="B269" s="12" t="s">
        <v>615</v>
      </c>
      <c r="C269" s="13" t="s">
        <v>616</v>
      </c>
      <c r="D269" s="11" t="s">
        <v>353</v>
      </c>
      <c r="E269" s="14">
        <v>5.8</v>
      </c>
      <c r="F269" s="14">
        <v>8.6</v>
      </c>
      <c r="G269" s="2" t="str">
        <f>HYPERLINK("https://ecomexpress.in/careers/", "Apply / Careers ↗")</f>
        <v>Apply / Careers ↗</v>
      </c>
    </row>
    <row r="270" spans="1:7" ht="22.05" customHeight="1" x14ac:dyDescent="0.3">
      <c r="A270" s="7">
        <v>267</v>
      </c>
      <c r="B270" s="8" t="s">
        <v>617</v>
      </c>
      <c r="C270" s="9" t="s">
        <v>618</v>
      </c>
      <c r="D270" s="7" t="s">
        <v>345</v>
      </c>
      <c r="E270" s="10">
        <v>6</v>
      </c>
      <c r="F270" s="10">
        <v>9</v>
      </c>
      <c r="G270" s="3" t="str">
        <f>HYPERLINK("https://www.xpressbees.com/careers", "Apply / Careers ↗")</f>
        <v>Apply / Careers ↗</v>
      </c>
    </row>
    <row r="271" spans="1:7" ht="22.05" customHeight="1" x14ac:dyDescent="0.3">
      <c r="A271" s="11">
        <v>268</v>
      </c>
      <c r="B271" s="12" t="s">
        <v>619</v>
      </c>
      <c r="C271" s="13" t="s">
        <v>620</v>
      </c>
      <c r="D271" s="11" t="s">
        <v>353</v>
      </c>
      <c r="E271" s="14">
        <v>5.8</v>
      </c>
      <c r="F271" s="14">
        <v>8.6</v>
      </c>
      <c r="G271" s="2" t="str">
        <f>HYPERLINK("https://www.bluedart.com/careers", "Apply / Careers ↗")</f>
        <v>Apply / Careers ↗</v>
      </c>
    </row>
    <row r="272" spans="1:7" ht="22.05" customHeight="1" x14ac:dyDescent="0.3">
      <c r="A272" s="7">
        <v>269</v>
      </c>
      <c r="B272" s="8" t="s">
        <v>621</v>
      </c>
      <c r="C272" s="9" t="s">
        <v>622</v>
      </c>
      <c r="D272" s="7" t="s">
        <v>387</v>
      </c>
      <c r="E272" s="10">
        <v>5.3</v>
      </c>
      <c r="F272" s="10">
        <v>8</v>
      </c>
      <c r="G272" s="3" t="str">
        <f>HYPERLINK("https://www.allcargologistics.com/careers", "Apply / Careers ↗")</f>
        <v>Apply / Careers ↗</v>
      </c>
    </row>
    <row r="273" spans="1:7" ht="22.05" customHeight="1" x14ac:dyDescent="0.3">
      <c r="A273" s="11">
        <v>270</v>
      </c>
      <c r="B273" s="12" t="s">
        <v>623</v>
      </c>
      <c r="C273" s="13" t="s">
        <v>624</v>
      </c>
      <c r="D273" s="11" t="s">
        <v>482</v>
      </c>
      <c r="E273" s="14">
        <v>5.2</v>
      </c>
      <c r="F273" s="14">
        <v>7.8</v>
      </c>
      <c r="G273" s="2" t="str">
        <f>HYPERLINK("https://www.tciexpress.in/careers.aspx", "Apply / Careers ↗")</f>
        <v>Apply / Careers ↗</v>
      </c>
    </row>
    <row r="274" spans="1:7" ht="22.05" customHeight="1" x14ac:dyDescent="0.3">
      <c r="A274" s="7">
        <v>271</v>
      </c>
      <c r="B274" s="8" t="s">
        <v>625</v>
      </c>
      <c r="C274" s="9" t="s">
        <v>626</v>
      </c>
      <c r="D274" s="7" t="s">
        <v>446</v>
      </c>
      <c r="E274" s="10">
        <v>5</v>
      </c>
      <c r="F274" s="10">
        <v>7.6</v>
      </c>
      <c r="G274" s="3" t="str">
        <f>HYPERLINK("https://www.vtransgroup.com/careers", "Apply / Careers ↗")</f>
        <v>Apply / Careers ↗</v>
      </c>
    </row>
    <row r="275" spans="1:7" ht="22.05" customHeight="1" x14ac:dyDescent="0.3">
      <c r="A275" s="11">
        <v>272</v>
      </c>
      <c r="B275" s="12" t="s">
        <v>627</v>
      </c>
      <c r="C275" s="13" t="s">
        <v>628</v>
      </c>
      <c r="D275" s="11" t="s">
        <v>482</v>
      </c>
      <c r="E275" s="14">
        <v>5.2</v>
      </c>
      <c r="F275" s="14">
        <v>7.8</v>
      </c>
      <c r="G275" s="2" t="str">
        <f>HYPERLINK("https://www.gati.com/careers/", "Apply / Careers ↗")</f>
        <v>Apply / Careers ↗</v>
      </c>
    </row>
    <row r="276" spans="1:7" ht="22.05" customHeight="1" x14ac:dyDescent="0.3">
      <c r="A276" s="7">
        <v>273</v>
      </c>
      <c r="B276" s="8" t="s">
        <v>629</v>
      </c>
      <c r="C276" s="9" t="s">
        <v>630</v>
      </c>
      <c r="D276" s="7" t="s">
        <v>482</v>
      </c>
      <c r="E276" s="10">
        <v>5.2</v>
      </c>
      <c r="F276" s="10">
        <v>7.8</v>
      </c>
      <c r="G276" s="3" t="str">
        <f>HYPERLINK("https://www.safexpress.com/careers", "Apply / Careers ↗")</f>
        <v>Apply / Careers ↗</v>
      </c>
    </row>
    <row r="277" spans="1:7" ht="22.05" customHeight="1" x14ac:dyDescent="0.3">
      <c r="A277" s="11">
        <v>274</v>
      </c>
      <c r="B277" s="12" t="s">
        <v>631</v>
      </c>
      <c r="C277" s="13" t="s">
        <v>632</v>
      </c>
      <c r="D277" s="11" t="s">
        <v>482</v>
      </c>
      <c r="E277" s="14">
        <v>5.2</v>
      </c>
      <c r="F277" s="14">
        <v>7.8</v>
      </c>
      <c r="G277" s="2" t="str">
        <f>HYPERLINK("https://concor.co.in/hr.asp", "Apply / Careers ↗")</f>
        <v>Apply / Careers ↗</v>
      </c>
    </row>
    <row r="278" spans="1:7" ht="22.05" customHeight="1" x14ac:dyDescent="0.3">
      <c r="A278" s="7">
        <v>275</v>
      </c>
      <c r="B278" s="8" t="s">
        <v>633</v>
      </c>
      <c r="C278" s="9" t="s">
        <v>634</v>
      </c>
      <c r="D278" s="7" t="s">
        <v>635</v>
      </c>
      <c r="E278" s="10">
        <v>5</v>
      </c>
      <c r="F278" s="10">
        <v>7.6</v>
      </c>
      <c r="G278" s="3" t="str">
        <f>HYPERLINK("https://www.gatewaydistriparks.com/careers", "Apply / Careers ↗")</f>
        <v>Apply / Careers ↗</v>
      </c>
    </row>
    <row r="279" spans="1:7" ht="22.05" customHeight="1" x14ac:dyDescent="0.3">
      <c r="A279" s="11">
        <v>276</v>
      </c>
      <c r="B279" s="12" t="s">
        <v>636</v>
      </c>
      <c r="C279" s="13" t="s">
        <v>637</v>
      </c>
      <c r="D279" s="11" t="s">
        <v>337</v>
      </c>
      <c r="E279" s="14">
        <v>6.6</v>
      </c>
      <c r="F279" s="14">
        <v>10</v>
      </c>
      <c r="G279" s="2" t="str">
        <f>HYPERLINK("https://www.rebelfoods.com/careers", "Apply / Careers ↗")</f>
        <v>Apply / Careers ↗</v>
      </c>
    </row>
    <row r="280" spans="1:7" ht="22.05" customHeight="1" x14ac:dyDescent="0.3">
      <c r="A280" s="7">
        <v>277</v>
      </c>
      <c r="B280" s="8" t="s">
        <v>638</v>
      </c>
      <c r="C280" s="9" t="s">
        <v>639</v>
      </c>
      <c r="D280" s="7" t="s">
        <v>337</v>
      </c>
      <c r="E280" s="10">
        <v>6.6</v>
      </c>
      <c r="F280" s="10">
        <v>10</v>
      </c>
      <c r="G280" s="3" t="str">
        <f>HYPERLINK("https://countrydelight.in/careers", "Apply / Careers ↗")</f>
        <v>Apply / Careers ↗</v>
      </c>
    </row>
    <row r="281" spans="1:7" ht="22.05" customHeight="1" x14ac:dyDescent="0.3">
      <c r="A281" s="11">
        <v>278</v>
      </c>
      <c r="B281" s="12" t="s">
        <v>640</v>
      </c>
      <c r="C281" s="13" t="s">
        <v>641</v>
      </c>
      <c r="D281" s="11" t="s">
        <v>337</v>
      </c>
      <c r="E281" s="14">
        <v>6.6</v>
      </c>
      <c r="F281" s="14">
        <v>10</v>
      </c>
      <c r="G281" s="2" t="str">
        <f>HYPERLINK("https://www.licious.in/careers", "Apply / Careers ↗")</f>
        <v>Apply / Careers ↗</v>
      </c>
    </row>
    <row r="282" spans="1:7" ht="22.05" customHeight="1" x14ac:dyDescent="0.3">
      <c r="A282" s="7">
        <v>279</v>
      </c>
      <c r="B282" s="8" t="s">
        <v>642</v>
      </c>
      <c r="C282" s="9" t="s">
        <v>643</v>
      </c>
      <c r="D282" s="7" t="s">
        <v>340</v>
      </c>
      <c r="E282" s="10">
        <v>6.2</v>
      </c>
      <c r="F282" s="10">
        <v>9.1999999999999993</v>
      </c>
      <c r="G282" s="3" t="str">
        <f>HYPERLINK("https://www.freshtohome.com/careers", "Apply / Careers ↗")</f>
        <v>Apply / Careers ↗</v>
      </c>
    </row>
    <row r="283" spans="1:7" ht="22.05" customHeight="1" x14ac:dyDescent="0.3">
      <c r="A283" s="11">
        <v>280</v>
      </c>
      <c r="B283" s="12" t="s">
        <v>644</v>
      </c>
      <c r="C283" s="13" t="s">
        <v>645</v>
      </c>
      <c r="D283" s="11" t="s">
        <v>340</v>
      </c>
      <c r="E283" s="14">
        <v>6.2</v>
      </c>
      <c r="F283" s="14">
        <v>9.1999999999999993</v>
      </c>
      <c r="G283" s="2" t="str">
        <f>HYPERLINK("https://curefoods.in/careers", "Apply / Careers ↗")</f>
        <v>Apply / Careers ↗</v>
      </c>
    </row>
    <row r="284" spans="1:7" ht="22.05" customHeight="1" x14ac:dyDescent="0.3">
      <c r="A284" s="7">
        <v>281</v>
      </c>
      <c r="B284" s="8" t="s">
        <v>646</v>
      </c>
      <c r="C284" s="9" t="s">
        <v>647</v>
      </c>
      <c r="D284" s="7" t="s">
        <v>345</v>
      </c>
      <c r="E284" s="10">
        <v>6</v>
      </c>
      <c r="F284" s="10">
        <v>9</v>
      </c>
      <c r="G284" s="3" t="str">
        <f>HYPERLINK("https://www.eatclub.com/careers", "Apply / Careers ↗")</f>
        <v>Apply / Careers ↗</v>
      </c>
    </row>
    <row r="285" spans="1:7" ht="22.05" customHeight="1" x14ac:dyDescent="0.3">
      <c r="A285" s="11">
        <v>282</v>
      </c>
      <c r="B285" s="12" t="s">
        <v>648</v>
      </c>
      <c r="C285" s="13" t="s">
        <v>649</v>
      </c>
      <c r="D285" s="11" t="s">
        <v>353</v>
      </c>
      <c r="E285" s="14">
        <v>5.8</v>
      </c>
      <c r="F285" s="14">
        <v>8.6</v>
      </c>
      <c r="G285" s="2" t="str">
        <f>HYPERLINK("https://chaipoint.com/careers", "Apply / Careers ↗")</f>
        <v>Apply / Careers ↗</v>
      </c>
    </row>
    <row r="286" spans="1:7" ht="22.05" customHeight="1" x14ac:dyDescent="0.3">
      <c r="A286" s="7">
        <v>283</v>
      </c>
      <c r="B286" s="8" t="s">
        <v>650</v>
      </c>
      <c r="C286" s="9" t="s">
        <v>651</v>
      </c>
      <c r="D286" s="7" t="s">
        <v>353</v>
      </c>
      <c r="E286" s="10">
        <v>5.8</v>
      </c>
      <c r="F286" s="10">
        <v>8.6</v>
      </c>
      <c r="G286" s="3" t="str">
        <f>HYPERLINK("https://chaayos.com/careers/", "Apply / Careers ↗")</f>
        <v>Apply / Careers ↗</v>
      </c>
    </row>
    <row r="287" spans="1:7" ht="22.05" customHeight="1" x14ac:dyDescent="0.3">
      <c r="A287" s="11">
        <v>284</v>
      </c>
      <c r="B287" s="12" t="s">
        <v>652</v>
      </c>
      <c r="C287" s="13" t="s">
        <v>653</v>
      </c>
      <c r="D287" s="11" t="s">
        <v>387</v>
      </c>
      <c r="E287" s="14">
        <v>5.3</v>
      </c>
      <c r="F287" s="14">
        <v>8</v>
      </c>
      <c r="G287" s="2" t="str">
        <f>HYPERLINK("https://dil-rjcorp.com/careers/", "Apply / Careers ↗")</f>
        <v>Apply / Careers ↗</v>
      </c>
    </row>
    <row r="288" spans="1:7" ht="22.05" customHeight="1" x14ac:dyDescent="0.3">
      <c r="A288" s="7">
        <v>285</v>
      </c>
      <c r="B288" s="8" t="s">
        <v>654</v>
      </c>
      <c r="C288" s="9" t="s">
        <v>655</v>
      </c>
      <c r="D288" s="7" t="s">
        <v>340</v>
      </c>
      <c r="E288" s="10">
        <v>6.2</v>
      </c>
      <c r="F288" s="10">
        <v>9.1999999999999993</v>
      </c>
      <c r="G288" s="3" t="str">
        <f>HYPERLINK("https://www.jubilantfoodworks.com/careers", "Apply / Careers ↗")</f>
        <v>Apply / Careers ↗</v>
      </c>
    </row>
    <row r="289" spans="1:7" ht="22.05" customHeight="1" x14ac:dyDescent="0.3">
      <c r="A289" s="11">
        <v>286</v>
      </c>
      <c r="B289" s="12" t="s">
        <v>656</v>
      </c>
      <c r="C289" s="13" t="s">
        <v>657</v>
      </c>
      <c r="D289" s="11" t="s">
        <v>353</v>
      </c>
      <c r="E289" s="14">
        <v>5.8</v>
      </c>
      <c r="F289" s="14">
        <v>8.6</v>
      </c>
      <c r="G289" s="2" t="str">
        <f>HYPERLINK("https://westlife.co.in/careers/", "Apply / Careers ↗")</f>
        <v>Apply / Careers ↗</v>
      </c>
    </row>
    <row r="290" spans="1:7" ht="22.05" customHeight="1" x14ac:dyDescent="0.3">
      <c r="A290" s="7">
        <v>287</v>
      </c>
      <c r="B290" s="8" t="s">
        <v>658</v>
      </c>
      <c r="C290" s="9" t="s">
        <v>659</v>
      </c>
      <c r="D290" s="7" t="s">
        <v>387</v>
      </c>
      <c r="E290" s="10">
        <v>5.3</v>
      </c>
      <c r="F290" s="10">
        <v>8</v>
      </c>
      <c r="G290" s="3" t="str">
        <f>HYPERLINK("https://www.sapphirefoods.in/careers", "Apply / Careers ↗")</f>
        <v>Apply / Careers ↗</v>
      </c>
    </row>
    <row r="291" spans="1:7" ht="22.05" customHeight="1" x14ac:dyDescent="0.3">
      <c r="A291" s="11">
        <v>288</v>
      </c>
      <c r="B291" s="12" t="s">
        <v>660</v>
      </c>
      <c r="C291" s="13" t="s">
        <v>661</v>
      </c>
      <c r="D291" s="11" t="s">
        <v>384</v>
      </c>
      <c r="E291" s="14">
        <v>5.5</v>
      </c>
      <c r="F291" s="14">
        <v>8.1999999999999993</v>
      </c>
      <c r="G291" s="2" t="str">
        <f>HYPERLINK("https://www.burgerking.in/careers", "Apply / Careers ↗")</f>
        <v>Apply / Careers ↗</v>
      </c>
    </row>
    <row r="292" spans="1:7" ht="22.05" customHeight="1" x14ac:dyDescent="0.3">
      <c r="A292" s="7">
        <v>289</v>
      </c>
      <c r="B292" s="8" t="s">
        <v>662</v>
      </c>
      <c r="C292" s="9" t="s">
        <v>663</v>
      </c>
      <c r="D292" s="7" t="s">
        <v>446</v>
      </c>
      <c r="E292" s="10">
        <v>5</v>
      </c>
      <c r="F292" s="10">
        <v>7.6</v>
      </c>
      <c r="G292" s="3" t="str">
        <f>HYPERLINK("https://www.speciality.co.in/careers.html", "Apply / Careers ↗")</f>
        <v>Apply / Careers ↗</v>
      </c>
    </row>
    <row r="293" spans="1:7" ht="22.05" customHeight="1" x14ac:dyDescent="0.3">
      <c r="A293" s="11">
        <v>290</v>
      </c>
      <c r="B293" s="12" t="s">
        <v>664</v>
      </c>
      <c r="C293" s="13" t="s">
        <v>665</v>
      </c>
      <c r="D293" s="11" t="s">
        <v>482</v>
      </c>
      <c r="E293" s="14">
        <v>5.2</v>
      </c>
      <c r="F293" s="14">
        <v>7.8</v>
      </c>
      <c r="G293" s="2" t="str">
        <f>HYPERLINK("https://www.barbequenation.com/careers", "Apply / Careers ↗")</f>
        <v>Apply / Careers ↗</v>
      </c>
    </row>
    <row r="294" spans="1:7" ht="22.05" customHeight="1" x14ac:dyDescent="0.3">
      <c r="A294" s="7">
        <v>291</v>
      </c>
      <c r="B294" s="8" t="s">
        <v>666</v>
      </c>
      <c r="C294" s="9" t="s">
        <v>667</v>
      </c>
      <c r="D294" s="7" t="s">
        <v>337</v>
      </c>
      <c r="E294" s="10">
        <v>6.6</v>
      </c>
      <c r="F294" s="10">
        <v>10</v>
      </c>
      <c r="G294" s="3" t="str">
        <f>HYPERLINK("https://www.titancompany.in/careers", "Apply / Careers ↗")</f>
        <v>Apply / Careers ↗</v>
      </c>
    </row>
    <row r="295" spans="1:7" ht="22.05" customHeight="1" x14ac:dyDescent="0.3">
      <c r="A295" s="11">
        <v>292</v>
      </c>
      <c r="B295" s="12" t="s">
        <v>668</v>
      </c>
      <c r="C295" s="13" t="s">
        <v>669</v>
      </c>
      <c r="D295" s="11" t="s">
        <v>387</v>
      </c>
      <c r="E295" s="14">
        <v>5.3</v>
      </c>
      <c r="F295" s="14">
        <v>8</v>
      </c>
      <c r="G295" s="2" t="str">
        <f>HYPERLINK("https://www.kalyanjewellers.net/careers.php", "Apply / Careers ↗")</f>
        <v>Apply / Careers ↗</v>
      </c>
    </row>
    <row r="296" spans="1:7" ht="22.05" customHeight="1" x14ac:dyDescent="0.3">
      <c r="A296" s="7">
        <v>293</v>
      </c>
      <c r="B296" s="8" t="s">
        <v>670</v>
      </c>
      <c r="C296" s="9" t="s">
        <v>671</v>
      </c>
      <c r="D296" s="7" t="s">
        <v>387</v>
      </c>
      <c r="E296" s="10">
        <v>5.3</v>
      </c>
      <c r="F296" s="10">
        <v>8</v>
      </c>
      <c r="G296" s="3" t="str">
        <f>HYPERLINK("https://www.malabargoldanddiamonds.com/careers", "Apply / Careers ↗")</f>
        <v>Apply / Careers ↗</v>
      </c>
    </row>
    <row r="297" spans="1:7" ht="22.05" customHeight="1" x14ac:dyDescent="0.3">
      <c r="A297" s="11">
        <v>294</v>
      </c>
      <c r="B297" s="12" t="s">
        <v>672</v>
      </c>
      <c r="C297" s="13" t="s">
        <v>673</v>
      </c>
      <c r="D297" s="11" t="s">
        <v>482</v>
      </c>
      <c r="E297" s="14">
        <v>5.2</v>
      </c>
      <c r="F297" s="14">
        <v>7.8</v>
      </c>
      <c r="G297" s="2" t="str">
        <f>HYPERLINK("https://www.joyalukkas.in/careers", "Apply / Careers ↗")</f>
        <v>Apply / Careers ↗</v>
      </c>
    </row>
    <row r="298" spans="1:7" ht="22.05" customHeight="1" x14ac:dyDescent="0.3">
      <c r="A298" s="7">
        <v>295</v>
      </c>
      <c r="B298" s="8" t="s">
        <v>674</v>
      </c>
      <c r="C298" s="9" t="s">
        <v>675</v>
      </c>
      <c r="D298" s="7" t="s">
        <v>446</v>
      </c>
      <c r="E298" s="10">
        <v>5</v>
      </c>
      <c r="F298" s="10">
        <v>7.6</v>
      </c>
      <c r="G298" s="3" t="str">
        <f>HYPERLINK("https://sencogoldanddiamonds.com/careers", "Apply / Careers ↗")</f>
        <v>Apply / Careers ↗</v>
      </c>
    </row>
    <row r="299" spans="1:7" ht="22.05" customHeight="1" x14ac:dyDescent="0.3">
      <c r="A299" s="11">
        <v>296</v>
      </c>
      <c r="B299" s="12" t="s">
        <v>676</v>
      </c>
      <c r="C299" s="13" t="s">
        <v>677</v>
      </c>
      <c r="D299" s="11" t="s">
        <v>337</v>
      </c>
      <c r="E299" s="14">
        <v>6.6</v>
      </c>
      <c r="F299" s="14">
        <v>10</v>
      </c>
      <c r="G299" s="2" t="str">
        <f>HYPERLINK("https://trentlimited.com/pages/careers", "Apply / Careers ↗")</f>
        <v>Apply / Careers ↗</v>
      </c>
    </row>
    <row r="300" spans="1:7" ht="22.05" customHeight="1" x14ac:dyDescent="0.3">
      <c r="A300" s="7">
        <v>297</v>
      </c>
      <c r="B300" s="8" t="s">
        <v>678</v>
      </c>
      <c r="C300" s="9" t="s">
        <v>679</v>
      </c>
      <c r="D300" s="7" t="s">
        <v>340</v>
      </c>
      <c r="E300" s="10">
        <v>6.2</v>
      </c>
      <c r="F300" s="10">
        <v>9.1999999999999993</v>
      </c>
      <c r="G300" s="3" t="str">
        <f>HYPERLINK("https://www.abfrl.com/careers/", "Apply / Careers ↗")</f>
        <v>Apply / Careers ↗</v>
      </c>
    </row>
    <row r="301" spans="1:7" ht="22.05" customHeight="1" x14ac:dyDescent="0.3">
      <c r="A301" s="11">
        <v>298</v>
      </c>
      <c r="B301" s="12" t="s">
        <v>680</v>
      </c>
      <c r="C301" s="13" t="s">
        <v>681</v>
      </c>
      <c r="D301" s="11" t="s">
        <v>384</v>
      </c>
      <c r="E301" s="14">
        <v>5.5</v>
      </c>
      <c r="F301" s="14">
        <v>8.1999999999999993</v>
      </c>
      <c r="G301" s="2" t="str">
        <f>HYPERLINK("https://www.shoppersstop.com/careers", "Apply / Careers ↗")</f>
        <v>Apply / Careers ↗</v>
      </c>
    </row>
    <row r="302" spans="1:7" ht="22.05" customHeight="1" x14ac:dyDescent="0.3">
      <c r="A302" s="7">
        <v>299</v>
      </c>
      <c r="B302" s="8" t="s">
        <v>682</v>
      </c>
      <c r="C302" s="9" t="s">
        <v>683</v>
      </c>
      <c r="D302" s="7" t="s">
        <v>384</v>
      </c>
      <c r="E302" s="10">
        <v>5.5</v>
      </c>
      <c r="F302" s="10">
        <v>8.1999999999999993</v>
      </c>
      <c r="G302" s="3" t="str">
        <f>HYPERLINK("https://www.lifestylestores.com/in/en/careers", "Apply / Careers ↗")</f>
        <v>Apply / Careers ↗</v>
      </c>
    </row>
    <row r="303" spans="1:7" ht="22.05" customHeight="1" x14ac:dyDescent="0.3">
      <c r="A303" s="11">
        <v>300</v>
      </c>
      <c r="B303" s="12" t="s">
        <v>684</v>
      </c>
      <c r="C303" s="13" t="s">
        <v>685</v>
      </c>
      <c r="D303" s="11" t="s">
        <v>340</v>
      </c>
      <c r="E303" s="14">
        <v>6.2</v>
      </c>
      <c r="F303" s="14">
        <v>9.1999999999999993</v>
      </c>
      <c r="G303" s="2" t="str">
        <f>HYPERLINK("https://www.relianceretail.com/careers.html", "Apply / Careers ↗")</f>
        <v>Apply / Careers ↗</v>
      </c>
    </row>
    <row r="304" spans="1:7" ht="22.05" customHeight="1" x14ac:dyDescent="0.3">
      <c r="A304" s="7">
        <v>301</v>
      </c>
      <c r="B304" s="8" t="s">
        <v>686</v>
      </c>
      <c r="C304" s="9" t="s">
        <v>687</v>
      </c>
      <c r="D304" s="7" t="s">
        <v>337</v>
      </c>
      <c r="E304" s="10">
        <v>6.6</v>
      </c>
      <c r="F304" s="10">
        <v>10</v>
      </c>
      <c r="G304" s="3" t="str">
        <f>HYPERLINK("https://www.boat-lifestyle.com/pages/careers", "Apply / Careers ↗")</f>
        <v>Apply / Careers ↗</v>
      </c>
    </row>
    <row r="305" spans="1:7" ht="22.05" customHeight="1" x14ac:dyDescent="0.3">
      <c r="A305" s="11">
        <v>302</v>
      </c>
      <c r="B305" s="12" t="s">
        <v>688</v>
      </c>
      <c r="C305" s="13" t="s">
        <v>689</v>
      </c>
      <c r="D305" s="11" t="s">
        <v>340</v>
      </c>
      <c r="E305" s="14">
        <v>6.2</v>
      </c>
      <c r="F305" s="14">
        <v>9.1999999999999993</v>
      </c>
      <c r="G305" s="2" t="str">
        <f>HYPERLINK("https://www.gonoise.com/pages/careers", "Apply / Careers ↗")</f>
        <v>Apply / Careers ↗</v>
      </c>
    </row>
    <row r="306" spans="1:7" ht="22.05" customHeight="1" x14ac:dyDescent="0.3">
      <c r="A306" s="7">
        <v>303</v>
      </c>
      <c r="B306" s="8" t="s">
        <v>690</v>
      </c>
      <c r="C306" s="9" t="s">
        <v>691</v>
      </c>
      <c r="D306" s="7" t="s">
        <v>345</v>
      </c>
      <c r="E306" s="10">
        <v>6</v>
      </c>
      <c r="F306" s="10">
        <v>9</v>
      </c>
      <c r="G306" s="3" t="str">
        <f>HYPERLINK("https://www.fireboltt.com/pages/careers", "Apply / Careers ↗")</f>
        <v>Apply / Careers ↗</v>
      </c>
    </row>
    <row r="307" spans="1:7" ht="22.05" customHeight="1" x14ac:dyDescent="0.3">
      <c r="A307" s="11">
        <v>304</v>
      </c>
      <c r="B307" s="12" t="s">
        <v>692</v>
      </c>
      <c r="C307" s="13" t="s">
        <v>693</v>
      </c>
      <c r="D307" s="11" t="s">
        <v>353</v>
      </c>
      <c r="E307" s="14">
        <v>5.8</v>
      </c>
      <c r="F307" s="14">
        <v>8.6</v>
      </c>
      <c r="G307" s="2" t="str">
        <f>HYPERLINK("https://boultaudio.com/pages/careers", "Apply / Careers ↗")</f>
        <v>Apply / Careers ↗</v>
      </c>
    </row>
    <row r="308" spans="1:7" ht="22.05" customHeight="1" x14ac:dyDescent="0.3">
      <c r="A308" s="7">
        <v>305</v>
      </c>
      <c r="B308" s="8" t="s">
        <v>694</v>
      </c>
      <c r="C308" s="9" t="s">
        <v>695</v>
      </c>
      <c r="D308" s="7" t="s">
        <v>387</v>
      </c>
      <c r="E308" s="10">
        <v>5.3</v>
      </c>
      <c r="F308" s="10">
        <v>8</v>
      </c>
      <c r="G308" s="3" t="str">
        <f>HYPERLINK("https://www.portronics.com/pages/careers", "Apply / Careers ↗")</f>
        <v>Apply / Careers ↗</v>
      </c>
    </row>
    <row r="309" spans="1:7" ht="22.05" customHeight="1" x14ac:dyDescent="0.3">
      <c r="A309" s="11">
        <v>306</v>
      </c>
      <c r="B309" s="12" t="s">
        <v>696</v>
      </c>
      <c r="C309" s="13" t="s">
        <v>697</v>
      </c>
      <c r="D309" s="11" t="s">
        <v>387</v>
      </c>
      <c r="E309" s="14">
        <v>5.3</v>
      </c>
      <c r="F309" s="14">
        <v>8</v>
      </c>
      <c r="G309" s="2" t="str">
        <f>HYPERLINK("https://www.mivi.in/pages/careers", "Apply / Careers ↗")</f>
        <v>Apply / Careers ↗</v>
      </c>
    </row>
    <row r="310" spans="1:7" ht="22.05" customHeight="1" x14ac:dyDescent="0.3">
      <c r="A310" s="7">
        <v>307</v>
      </c>
      <c r="B310" s="8" t="s">
        <v>698</v>
      </c>
      <c r="C310" s="9" t="s">
        <v>699</v>
      </c>
      <c r="D310" s="7" t="s">
        <v>446</v>
      </c>
      <c r="E310" s="10">
        <v>5</v>
      </c>
      <c r="F310" s="10">
        <v>7.6</v>
      </c>
      <c r="G310" s="3" t="str">
        <f>HYPERLINK("https://zebronics.com/pages/careers", "Apply / Careers ↗")</f>
        <v>Apply / Careers ↗</v>
      </c>
    </row>
    <row r="311" spans="1:7" ht="22.05" customHeight="1" x14ac:dyDescent="0.3">
      <c r="A311" s="11">
        <v>308</v>
      </c>
      <c r="B311" s="12" t="s">
        <v>700</v>
      </c>
      <c r="C311" s="13" t="s">
        <v>701</v>
      </c>
      <c r="D311" s="11" t="s">
        <v>446</v>
      </c>
      <c r="E311" s="14">
        <v>5</v>
      </c>
      <c r="F311" s="14">
        <v>7.6</v>
      </c>
      <c r="G311" s="2" t="str">
        <f>HYPERLINK("https://ambraneindia.com/pages/careers", "Apply / Careers ↗")</f>
        <v>Apply / Careers ↗</v>
      </c>
    </row>
    <row r="312" spans="1:7" ht="22.05" customHeight="1" x14ac:dyDescent="0.3">
      <c r="A312" s="7">
        <v>309</v>
      </c>
      <c r="B312" s="8" t="s">
        <v>702</v>
      </c>
      <c r="C312" s="9" t="s">
        <v>703</v>
      </c>
      <c r="D312" s="7" t="s">
        <v>471</v>
      </c>
      <c r="E312" s="10">
        <v>5</v>
      </c>
      <c r="F312" s="10">
        <v>7.5</v>
      </c>
      <c r="G312" s="3" t="str">
        <f>HYPERLINK("https://syska.co.in/careers", "Apply / Careers ↗")</f>
        <v>Apply / Careers ↗</v>
      </c>
    </row>
    <row r="313" spans="1:7" ht="22.05" customHeight="1" x14ac:dyDescent="0.3">
      <c r="A313" s="11">
        <v>310</v>
      </c>
      <c r="B313" s="12" t="s">
        <v>704</v>
      </c>
      <c r="C313" s="13" t="s">
        <v>705</v>
      </c>
      <c r="D313" s="11" t="s">
        <v>706</v>
      </c>
      <c r="E313" s="14">
        <v>4.8</v>
      </c>
      <c r="F313" s="14">
        <v>7.2</v>
      </c>
      <c r="G313" s="2" t="str">
        <f>HYPERLINK("https://www.intex.in/pages/careers", "Apply / Careers ↗")</f>
        <v>Apply / Careers ↗</v>
      </c>
    </row>
    <row r="314" spans="1:7" ht="22.05" customHeight="1" x14ac:dyDescent="0.3">
      <c r="A314" s="7">
        <v>311</v>
      </c>
      <c r="B314" s="8" t="s">
        <v>707</v>
      </c>
      <c r="C314" s="9" t="s">
        <v>708</v>
      </c>
      <c r="D314" s="7" t="s">
        <v>337</v>
      </c>
      <c r="E314" s="10">
        <v>6.6</v>
      </c>
      <c r="F314" s="10">
        <v>10</v>
      </c>
      <c r="G314" s="3" t="str">
        <f>HYPERLINK("https://honasa.in/careers/", "Apply / Careers ↗")</f>
        <v>Apply / Careers ↗</v>
      </c>
    </row>
    <row r="315" spans="1:7" ht="22.05" customHeight="1" x14ac:dyDescent="0.3">
      <c r="A315" s="11">
        <v>312</v>
      </c>
      <c r="B315" s="12" t="s">
        <v>709</v>
      </c>
      <c r="C315" s="13" t="s">
        <v>710</v>
      </c>
      <c r="D315" s="11" t="s">
        <v>340</v>
      </c>
      <c r="E315" s="14">
        <v>6.2</v>
      </c>
      <c r="F315" s="14">
        <v>9.1999999999999993</v>
      </c>
      <c r="G315" s="2" t="str">
        <f>HYPERLINK("https://in.sugarcosmetics.com/pages/careers", "Apply / Careers ↗")</f>
        <v>Apply / Careers ↗</v>
      </c>
    </row>
    <row r="316" spans="1:7" ht="22.05" customHeight="1" x14ac:dyDescent="0.3">
      <c r="A316" s="7">
        <v>313</v>
      </c>
      <c r="B316" s="8" t="s">
        <v>711</v>
      </c>
      <c r="C316" s="9" t="s">
        <v>712</v>
      </c>
      <c r="D316" s="7" t="s">
        <v>345</v>
      </c>
      <c r="E316" s="10">
        <v>6</v>
      </c>
      <c r="F316" s="10">
        <v>9</v>
      </c>
      <c r="G316" s="3" t="str">
        <f>HYPERLINK("https://plumgoodness.com/pages/careers", "Apply / Careers ↗")</f>
        <v>Apply / Careers ↗</v>
      </c>
    </row>
    <row r="317" spans="1:7" ht="22.05" customHeight="1" x14ac:dyDescent="0.3">
      <c r="A317" s="11">
        <v>314</v>
      </c>
      <c r="B317" s="12" t="s">
        <v>713</v>
      </c>
      <c r="C317" s="13" t="s">
        <v>714</v>
      </c>
      <c r="D317" s="11" t="s">
        <v>353</v>
      </c>
      <c r="E317" s="14">
        <v>5.8</v>
      </c>
      <c r="F317" s="14">
        <v>8.6</v>
      </c>
      <c r="G317" s="2" t="str">
        <f>HYPERLINK("https://www.mcaffeine.com/pages/careers", "Apply / Careers ↗")</f>
        <v>Apply / Careers ↗</v>
      </c>
    </row>
    <row r="318" spans="1:7" ht="22.05" customHeight="1" x14ac:dyDescent="0.3">
      <c r="A318" s="7">
        <v>315</v>
      </c>
      <c r="B318" s="8" t="s">
        <v>715</v>
      </c>
      <c r="C318" s="9" t="s">
        <v>716</v>
      </c>
      <c r="D318" s="7" t="s">
        <v>345</v>
      </c>
      <c r="E318" s="10">
        <v>6</v>
      </c>
      <c r="F318" s="10">
        <v>9</v>
      </c>
      <c r="G318" s="3" t="str">
        <f>HYPERLINK("https://thedermaco.com/pages/careers", "Apply / Careers ↗")</f>
        <v>Apply / Careers ↗</v>
      </c>
    </row>
    <row r="319" spans="1:7" ht="22.05" customHeight="1" x14ac:dyDescent="0.3">
      <c r="A319" s="11">
        <v>316</v>
      </c>
      <c r="B319" s="12" t="s">
        <v>717</v>
      </c>
      <c r="C319" s="13" t="s">
        <v>718</v>
      </c>
      <c r="D319" s="11" t="s">
        <v>353</v>
      </c>
      <c r="E319" s="14">
        <v>5.8</v>
      </c>
      <c r="F319" s="14">
        <v>8.6</v>
      </c>
      <c r="G319" s="2" t="str">
        <f>HYPERLINK("https://aqualogica.in/pages/careers", "Apply / Careers ↗")</f>
        <v>Apply / Careers ↗</v>
      </c>
    </row>
    <row r="320" spans="1:7" ht="22.05" customHeight="1" x14ac:dyDescent="0.3">
      <c r="A320" s="7">
        <v>317</v>
      </c>
      <c r="B320" s="8" t="s">
        <v>719</v>
      </c>
      <c r="C320" s="9" t="s">
        <v>720</v>
      </c>
      <c r="D320" s="7" t="s">
        <v>340</v>
      </c>
      <c r="E320" s="10">
        <v>6.2</v>
      </c>
      <c r="F320" s="10">
        <v>9.1999999999999993</v>
      </c>
      <c r="G320" s="3" t="str">
        <f>HYPERLINK("https://beminimalist.co/pages/careers", "Apply / Careers ↗")</f>
        <v>Apply / Careers ↗</v>
      </c>
    </row>
    <row r="321" spans="1:7" ht="22.05" customHeight="1" x14ac:dyDescent="0.3">
      <c r="A321" s="11">
        <v>318</v>
      </c>
      <c r="B321" s="12" t="s">
        <v>721</v>
      </c>
      <c r="C321" s="13" t="s">
        <v>722</v>
      </c>
      <c r="D321" s="11" t="s">
        <v>353</v>
      </c>
      <c r="E321" s="14">
        <v>5.8</v>
      </c>
      <c r="F321" s="14">
        <v>8.6</v>
      </c>
      <c r="G321" s="2" t="str">
        <f>HYPERLINK("https://www.buywow.in/pages/careers", "Apply / Careers ↗")</f>
        <v>Apply / Careers ↗</v>
      </c>
    </row>
    <row r="322" spans="1:7" ht="22.05" customHeight="1" x14ac:dyDescent="0.3">
      <c r="A322" s="7">
        <v>319</v>
      </c>
      <c r="B322" s="8" t="s">
        <v>723</v>
      </c>
      <c r="C322" s="9" t="s">
        <v>724</v>
      </c>
      <c r="D322" s="7" t="s">
        <v>353</v>
      </c>
      <c r="E322" s="10">
        <v>5.8</v>
      </c>
      <c r="F322" s="10">
        <v>8.6</v>
      </c>
      <c r="G322" s="3" t="str">
        <f>HYPERLINK("https://www.dotandkey.com/pages/careers", "Apply / Careers ↗")</f>
        <v>Apply / Careers ↗</v>
      </c>
    </row>
    <row r="323" spans="1:7" ht="22.05" customHeight="1" x14ac:dyDescent="0.3">
      <c r="A323" s="11">
        <v>320</v>
      </c>
      <c r="B323" s="12" t="s">
        <v>725</v>
      </c>
      <c r="C323" s="13" t="s">
        <v>726</v>
      </c>
      <c r="D323" s="11" t="s">
        <v>353</v>
      </c>
      <c r="E323" s="14">
        <v>5.8</v>
      </c>
      <c r="F323" s="14">
        <v>8.6</v>
      </c>
      <c r="G323" s="2" t="str">
        <f>HYPERLINK("https://foxtale.in/pages/careers", "Apply / Careers ↗")</f>
        <v>Apply / Careers ↗</v>
      </c>
    </row>
    <row r="324" spans="1:7" ht="22.05" customHeight="1" x14ac:dyDescent="0.3">
      <c r="A324" s="7">
        <v>321</v>
      </c>
      <c r="B324" s="8" t="s">
        <v>727</v>
      </c>
      <c r="C324" s="9" t="s">
        <v>728</v>
      </c>
      <c r="D324" s="7" t="s">
        <v>340</v>
      </c>
      <c r="E324" s="10">
        <v>6.2</v>
      </c>
      <c r="F324" s="10">
        <v>9.1999999999999993</v>
      </c>
      <c r="G324" s="3" t="str">
        <f>HYPERLINK("https://www.wakefit.co/careers/", "Apply / Careers ↗")</f>
        <v>Apply / Careers ↗</v>
      </c>
    </row>
    <row r="325" spans="1:7" ht="22.05" customHeight="1" x14ac:dyDescent="0.3">
      <c r="A325" s="11">
        <v>322</v>
      </c>
      <c r="B325" s="12" t="s">
        <v>729</v>
      </c>
      <c r="C325" s="13" t="s">
        <v>730</v>
      </c>
      <c r="D325" s="11" t="s">
        <v>387</v>
      </c>
      <c r="E325" s="14">
        <v>5.3</v>
      </c>
      <c r="F325" s="14">
        <v>8</v>
      </c>
      <c r="G325" s="2" t="str">
        <f>HYPERLINK("https://www.sheelafoam.com/careers.html", "Apply / Careers ↗")</f>
        <v>Apply / Careers ↗</v>
      </c>
    </row>
    <row r="326" spans="1:7" ht="22.05" customHeight="1" x14ac:dyDescent="0.3">
      <c r="A326" s="7">
        <v>323</v>
      </c>
      <c r="B326" s="8" t="s">
        <v>731</v>
      </c>
      <c r="C326" s="9" t="s">
        <v>732</v>
      </c>
      <c r="D326" s="7" t="s">
        <v>482</v>
      </c>
      <c r="E326" s="10">
        <v>5.2</v>
      </c>
      <c r="F326" s="10">
        <v>7.8</v>
      </c>
      <c r="G326" s="3" t="str">
        <f>HYPERLINK("https://kurlon.com/careers", "Apply / Careers ↗")</f>
        <v>Apply / Careers ↗</v>
      </c>
    </row>
    <row r="327" spans="1:7" ht="22.05" customHeight="1" x14ac:dyDescent="0.3">
      <c r="A327" s="11">
        <v>324</v>
      </c>
      <c r="B327" s="12" t="s">
        <v>733</v>
      </c>
      <c r="C327" s="13" t="s">
        <v>734</v>
      </c>
      <c r="D327" s="11" t="s">
        <v>345</v>
      </c>
      <c r="E327" s="14">
        <v>6</v>
      </c>
      <c r="F327" s="14">
        <v>9</v>
      </c>
      <c r="G327" s="2" t="str">
        <f>HYPERLINK("https://thesleepcompany.in/pages/careers", "Apply / Careers ↗")</f>
        <v>Apply / Careers ↗</v>
      </c>
    </row>
    <row r="328" spans="1:7" ht="22.05" customHeight="1" x14ac:dyDescent="0.3">
      <c r="A328" s="7">
        <v>325</v>
      </c>
      <c r="B328" s="8" t="s">
        <v>735</v>
      </c>
      <c r="C328" s="9" t="s">
        <v>736</v>
      </c>
      <c r="D328" s="7" t="s">
        <v>353</v>
      </c>
      <c r="E328" s="10">
        <v>5.8</v>
      </c>
      <c r="F328" s="10">
        <v>8.6</v>
      </c>
      <c r="G328" s="3" t="str">
        <f>HYPERLINK("https://www.pepperfry.com/careers.html", "Apply / Careers ↗")</f>
        <v>Apply / Careers ↗</v>
      </c>
    </row>
    <row r="329" spans="1:7" ht="22.05" customHeight="1" x14ac:dyDescent="0.3">
      <c r="A329" s="11">
        <v>326</v>
      </c>
      <c r="B329" s="12" t="s">
        <v>737</v>
      </c>
      <c r="C329" s="13" t="s">
        <v>738</v>
      </c>
      <c r="D329" s="11" t="s">
        <v>353</v>
      </c>
      <c r="E329" s="14">
        <v>5.8</v>
      </c>
      <c r="F329" s="14">
        <v>8.6</v>
      </c>
      <c r="G329" s="2" t="str">
        <f>HYPERLINK("https://www.urbanladder.com/careers", "Apply / Careers ↗")</f>
        <v>Apply / Careers ↗</v>
      </c>
    </row>
    <row r="330" spans="1:7" ht="22.05" customHeight="1" x14ac:dyDescent="0.3">
      <c r="A330" s="7">
        <v>327</v>
      </c>
      <c r="B330" s="8" t="s">
        <v>739</v>
      </c>
      <c r="C330" s="9" t="s">
        <v>740</v>
      </c>
      <c r="D330" s="7" t="s">
        <v>353</v>
      </c>
      <c r="E330" s="10">
        <v>5.8</v>
      </c>
      <c r="F330" s="10">
        <v>8.6</v>
      </c>
      <c r="G330" s="3" t="str">
        <f>HYPERLINK("https://www.godrejinterio.com/careers", "Apply / Careers ↗")</f>
        <v>Apply / Careers ↗</v>
      </c>
    </row>
    <row r="331" spans="1:7" ht="22.05" customHeight="1" x14ac:dyDescent="0.3">
      <c r="A331" s="11">
        <v>328</v>
      </c>
      <c r="B331" s="12" t="s">
        <v>741</v>
      </c>
      <c r="C331" s="13" t="s">
        <v>742</v>
      </c>
      <c r="D331" s="11" t="s">
        <v>482</v>
      </c>
      <c r="E331" s="14">
        <v>5.2</v>
      </c>
      <c r="F331" s="14">
        <v>7.8</v>
      </c>
      <c r="G331" s="2" t="str">
        <f>HYPERLINK("https://featherlitefurniture.com/careers/", "Apply / Careers ↗")</f>
        <v>Apply / Careers ↗</v>
      </c>
    </row>
    <row r="332" spans="1:7" ht="22.05" customHeight="1" x14ac:dyDescent="0.3">
      <c r="A332" s="7">
        <v>329</v>
      </c>
      <c r="B332" s="8" t="s">
        <v>743</v>
      </c>
      <c r="C332" s="9" t="s">
        <v>744</v>
      </c>
      <c r="D332" s="7" t="s">
        <v>482</v>
      </c>
      <c r="E332" s="10">
        <v>5.2</v>
      </c>
      <c r="F332" s="10">
        <v>7.8</v>
      </c>
      <c r="G332" s="3" t="str">
        <f>HYPERLINK("https://www.nilkamal.com/pages/careers", "Apply / Careers ↗")</f>
        <v>Apply / Careers ↗</v>
      </c>
    </row>
    <row r="333" spans="1:7" ht="22.05" customHeight="1" x14ac:dyDescent="0.3">
      <c r="A333" s="11">
        <v>330</v>
      </c>
      <c r="B333" s="12" t="s">
        <v>745</v>
      </c>
      <c r="C333" s="13" t="s">
        <v>746</v>
      </c>
      <c r="D333" s="11" t="s">
        <v>387</v>
      </c>
      <c r="E333" s="14">
        <v>5.3</v>
      </c>
      <c r="F333" s="14">
        <v>8</v>
      </c>
      <c r="G333" s="2" t="str">
        <f>HYPERLINK("https://www.supreme.co.in/careers", "Apply / Careers ↗")</f>
        <v>Apply / Careers ↗</v>
      </c>
    </row>
    <row r="334" spans="1:7" ht="22.05" customHeight="1" x14ac:dyDescent="0.3">
      <c r="A334" s="7">
        <v>331</v>
      </c>
      <c r="B334" s="8" t="s">
        <v>747</v>
      </c>
      <c r="C334" s="9" t="s">
        <v>748</v>
      </c>
      <c r="D334" s="7" t="s">
        <v>340</v>
      </c>
      <c r="E334" s="10">
        <v>6.2</v>
      </c>
      <c r="F334" s="10">
        <v>9.1999999999999993</v>
      </c>
      <c r="G334" s="3" t="str">
        <f>HYPERLINK("https://www.nazara.com/careers/", "Apply / Careers ↗")</f>
        <v>Apply / Careers ↗</v>
      </c>
    </row>
    <row r="335" spans="1:7" ht="22.05" customHeight="1" x14ac:dyDescent="0.3">
      <c r="A335" s="11">
        <v>332</v>
      </c>
      <c r="B335" s="12" t="s">
        <v>749</v>
      </c>
      <c r="C335" s="13" t="s">
        <v>750</v>
      </c>
      <c r="D335" s="11" t="s">
        <v>236</v>
      </c>
      <c r="E335" s="14">
        <v>7.5</v>
      </c>
      <c r="F335" s="14">
        <v>11.2</v>
      </c>
      <c r="G335" s="2" t="str">
        <f>HYPERLINK("https://www.games24x7.com/careers", "Apply / Careers ↗")</f>
        <v>Apply / Careers ↗</v>
      </c>
    </row>
    <row r="336" spans="1:7" ht="22.05" customHeight="1" x14ac:dyDescent="0.3">
      <c r="A336" s="7">
        <v>333</v>
      </c>
      <c r="B336" s="8" t="s">
        <v>751</v>
      </c>
      <c r="C336" s="9" t="s">
        <v>752</v>
      </c>
      <c r="D336" s="7" t="s">
        <v>236</v>
      </c>
      <c r="E336" s="10">
        <v>7.5</v>
      </c>
      <c r="F336" s="10">
        <v>11.2</v>
      </c>
      <c r="G336" s="3" t="str">
        <f>HYPERLINK("https://about.mpl.live/careers/", "Apply / Careers ↗")</f>
        <v>Apply / Careers ↗</v>
      </c>
    </row>
    <row r="337" spans="1:7" ht="22.05" customHeight="1" x14ac:dyDescent="0.3">
      <c r="A337" s="11">
        <v>334</v>
      </c>
      <c r="B337" s="12" t="s">
        <v>753</v>
      </c>
      <c r="C337" s="13" t="s">
        <v>754</v>
      </c>
      <c r="D337" s="11" t="s">
        <v>287</v>
      </c>
      <c r="E337" s="14">
        <v>7</v>
      </c>
      <c r="F337" s="14">
        <v>10.5</v>
      </c>
      <c r="G337" s="2" t="str">
        <f>HYPERLINK("https://www.winzogames.com/careers", "Apply / Careers ↗")</f>
        <v>Apply / Careers ↗</v>
      </c>
    </row>
    <row r="338" spans="1:7" ht="22.05" customHeight="1" x14ac:dyDescent="0.3">
      <c r="A338" s="7">
        <v>335</v>
      </c>
      <c r="B338" s="8" t="s">
        <v>755</v>
      </c>
      <c r="C338" s="9" t="s">
        <v>756</v>
      </c>
      <c r="D338" s="7" t="s">
        <v>337</v>
      </c>
      <c r="E338" s="10">
        <v>6.6</v>
      </c>
      <c r="F338" s="10">
        <v>10</v>
      </c>
      <c r="G338" s="3" t="str">
        <f>HYPERLINK("https://www.zupee.com/careers/", "Apply / Careers ↗")</f>
        <v>Apply / Careers ↗</v>
      </c>
    </row>
    <row r="339" spans="1:7" ht="22.05" customHeight="1" x14ac:dyDescent="0.3">
      <c r="A339" s="11">
        <v>336</v>
      </c>
      <c r="B339" s="12" t="s">
        <v>757</v>
      </c>
      <c r="C339" s="13" t="s">
        <v>758</v>
      </c>
      <c r="D339" s="11" t="s">
        <v>340</v>
      </c>
      <c r="E339" s="14">
        <v>6.2</v>
      </c>
      <c r="F339" s="14">
        <v>9.1999999999999993</v>
      </c>
      <c r="G339" s="2" t="str">
        <f>HYPERLINK("https://www.a23.com/careers.html", "Apply / Careers ↗")</f>
        <v>Apply / Careers ↗</v>
      </c>
    </row>
    <row r="340" spans="1:7" ht="22.05" customHeight="1" x14ac:dyDescent="0.3">
      <c r="A340" s="7">
        <v>337</v>
      </c>
      <c r="B340" s="8" t="s">
        <v>759</v>
      </c>
      <c r="C340" s="9" t="s">
        <v>760</v>
      </c>
      <c r="D340" s="7" t="s">
        <v>337</v>
      </c>
      <c r="E340" s="10">
        <v>6.6</v>
      </c>
      <c r="F340" s="10">
        <v>10</v>
      </c>
      <c r="G340" s="3" t="str">
        <f>HYPERLINK("https://moonfroglabs.com/careers/", "Apply / Careers ↗")</f>
        <v>Apply / Careers ↗</v>
      </c>
    </row>
    <row r="341" spans="1:7" ht="22.05" customHeight="1" x14ac:dyDescent="0.3">
      <c r="A341" s="11">
        <v>338</v>
      </c>
      <c r="B341" s="12" t="s">
        <v>761</v>
      </c>
      <c r="C341" s="13" t="s">
        <v>762</v>
      </c>
      <c r="D341" s="11" t="s">
        <v>255</v>
      </c>
      <c r="E341" s="14">
        <v>7</v>
      </c>
      <c r="F341" s="14">
        <v>11</v>
      </c>
      <c r="G341" s="2" t="str">
        <f>HYPERLINK("https://playsimple.in/careers/", "Apply / Careers ↗")</f>
        <v>Apply / Careers ↗</v>
      </c>
    </row>
    <row r="342" spans="1:7" ht="22.05" customHeight="1" x14ac:dyDescent="0.3">
      <c r="A342" s="7">
        <v>339</v>
      </c>
      <c r="B342" s="8" t="s">
        <v>763</v>
      </c>
      <c r="C342" s="9" t="s">
        <v>764</v>
      </c>
      <c r="D342" s="7" t="s">
        <v>337</v>
      </c>
      <c r="E342" s="10">
        <v>6.6</v>
      </c>
      <c r="F342" s="10">
        <v>10</v>
      </c>
      <c r="G342" s="3" t="str">
        <f>HYPERLINK("https://www.supergaming.com/careers", "Apply / Careers ↗")</f>
        <v>Apply / Careers ↗</v>
      </c>
    </row>
    <row r="343" spans="1:7" ht="22.05" customHeight="1" x14ac:dyDescent="0.3">
      <c r="A343" s="11">
        <v>340</v>
      </c>
      <c r="B343" s="12" t="s">
        <v>765</v>
      </c>
      <c r="C343" s="13" t="s">
        <v>766</v>
      </c>
      <c r="D343" s="11" t="s">
        <v>353</v>
      </c>
      <c r="E343" s="14">
        <v>5.8</v>
      </c>
      <c r="F343" s="14">
        <v>8.6</v>
      </c>
      <c r="G343" s="2" t="str">
        <f>HYPERLINK("https://ncoregames.com/careers", "Apply / Careers ↗")</f>
        <v>Apply / Careers ↗</v>
      </c>
    </row>
    <row r="344" spans="1:7" ht="22.05" customHeight="1" x14ac:dyDescent="0.3">
      <c r="A344" s="7">
        <v>341</v>
      </c>
      <c r="B344" s="8" t="s">
        <v>767</v>
      </c>
      <c r="C344" s="9" t="s">
        <v>768</v>
      </c>
      <c r="D344" s="7" t="s">
        <v>345</v>
      </c>
      <c r="E344" s="10">
        <v>6</v>
      </c>
      <c r="F344" s="10">
        <v>9</v>
      </c>
      <c r="G344" s="3" t="str">
        <f>HYPERLINK("https://www.zee.com/careers/", "Apply / Careers ↗")</f>
        <v>Apply / Careers ↗</v>
      </c>
    </row>
    <row r="345" spans="1:7" ht="22.05" customHeight="1" x14ac:dyDescent="0.3">
      <c r="A345" s="11">
        <v>342</v>
      </c>
      <c r="B345" s="12" t="s">
        <v>769</v>
      </c>
      <c r="C345" s="13" t="s">
        <v>770</v>
      </c>
      <c r="D345" s="11" t="s">
        <v>340</v>
      </c>
      <c r="E345" s="14">
        <v>6.2</v>
      </c>
      <c r="F345" s="14">
        <v>9.1999999999999993</v>
      </c>
      <c r="G345" s="2" t="str">
        <f>HYPERLINK("https://www.sonyliv.com/careers", "Apply / Careers ↗")</f>
        <v>Apply / Careers ↗</v>
      </c>
    </row>
    <row r="346" spans="1:7" ht="22.05" customHeight="1" x14ac:dyDescent="0.3">
      <c r="A346" s="7">
        <v>343</v>
      </c>
      <c r="B346" s="8" t="s">
        <v>771</v>
      </c>
      <c r="C346" s="9" t="s">
        <v>772</v>
      </c>
      <c r="D346" s="7" t="s">
        <v>337</v>
      </c>
      <c r="E346" s="10">
        <v>6.6</v>
      </c>
      <c r="F346" s="10">
        <v>10</v>
      </c>
      <c r="G346" s="3" t="str">
        <f>HYPERLINK("https://www.viacom18.com/careers", "Apply / Careers ↗")</f>
        <v>Apply / Careers ↗</v>
      </c>
    </row>
    <row r="347" spans="1:7" ht="22.05" customHeight="1" x14ac:dyDescent="0.3">
      <c r="A347" s="11">
        <v>344</v>
      </c>
      <c r="B347" s="12" t="s">
        <v>773</v>
      </c>
      <c r="C347" s="13" t="s">
        <v>774</v>
      </c>
      <c r="D347" s="11" t="s">
        <v>337</v>
      </c>
      <c r="E347" s="14">
        <v>6.6</v>
      </c>
      <c r="F347" s="14">
        <v>10</v>
      </c>
      <c r="G347" s="2" t="str">
        <f>HYPERLINK("https://www.disneycareers.com/", "Apply / Careers ↗")</f>
        <v>Apply / Careers ↗</v>
      </c>
    </row>
    <row r="348" spans="1:7" ht="22.05" customHeight="1" x14ac:dyDescent="0.3">
      <c r="A348" s="7">
        <v>345</v>
      </c>
      <c r="B348" s="8" t="s">
        <v>775</v>
      </c>
      <c r="C348" s="9" t="s">
        <v>776</v>
      </c>
      <c r="D348" s="7" t="s">
        <v>387</v>
      </c>
      <c r="E348" s="10">
        <v>5.3</v>
      </c>
      <c r="F348" s="10">
        <v>8</v>
      </c>
      <c r="G348" s="3" t="str">
        <f>HYPERLINK("https://www.balajitelefilms.com/careers.php", "Apply / Careers ↗")</f>
        <v>Apply / Careers ↗</v>
      </c>
    </row>
    <row r="349" spans="1:7" ht="22.05" customHeight="1" x14ac:dyDescent="0.3">
      <c r="A349" s="11">
        <v>346</v>
      </c>
      <c r="B349" s="12" t="s">
        <v>777</v>
      </c>
      <c r="C349" s="13" t="s">
        <v>778</v>
      </c>
      <c r="D349" s="11" t="s">
        <v>337</v>
      </c>
      <c r="E349" s="14">
        <v>6.6</v>
      </c>
      <c r="F349" s="14">
        <v>10</v>
      </c>
      <c r="G349" s="2" t="str">
        <f>HYPERLINK("https://pocketfm.com/careers", "Apply / Careers ↗")</f>
        <v>Apply / Careers ↗</v>
      </c>
    </row>
    <row r="350" spans="1:7" ht="22.05" customHeight="1" x14ac:dyDescent="0.3">
      <c r="A350" s="7">
        <v>347</v>
      </c>
      <c r="B350" s="8" t="s">
        <v>779</v>
      </c>
      <c r="C350" s="9" t="s">
        <v>780</v>
      </c>
      <c r="D350" s="7" t="s">
        <v>340</v>
      </c>
      <c r="E350" s="10">
        <v>6.2</v>
      </c>
      <c r="F350" s="10">
        <v>9.1999999999999993</v>
      </c>
      <c r="G350" s="3" t="str">
        <f>HYPERLINK("https://kukufm.com/careers", "Apply / Careers ↗")</f>
        <v>Apply / Careers ↗</v>
      </c>
    </row>
    <row r="351" spans="1:7" ht="22.05" customHeight="1" x14ac:dyDescent="0.3">
      <c r="A351" s="11">
        <v>348</v>
      </c>
      <c r="B351" s="12" t="s">
        <v>781</v>
      </c>
      <c r="C351" s="13" t="s">
        <v>782</v>
      </c>
      <c r="D351" s="11" t="s">
        <v>353</v>
      </c>
      <c r="E351" s="14">
        <v>5.8</v>
      </c>
      <c r="F351" s="14">
        <v>8.6</v>
      </c>
      <c r="G351" s="2" t="str">
        <f>HYPERLINK("https://stage.in/careers", "Apply / Careers ↗")</f>
        <v>Apply / Careers ↗</v>
      </c>
    </row>
    <row r="352" spans="1:7" ht="22.05" customHeight="1" x14ac:dyDescent="0.3">
      <c r="A352" s="7">
        <v>349</v>
      </c>
      <c r="B352" s="8" t="s">
        <v>783</v>
      </c>
      <c r="C352" s="9" t="s">
        <v>784</v>
      </c>
      <c r="D352" s="7" t="s">
        <v>387</v>
      </c>
      <c r="E352" s="10">
        <v>5.3</v>
      </c>
      <c r="F352" s="10">
        <v>8</v>
      </c>
      <c r="G352" s="3" t="str">
        <f>HYPERLINK("https://chaupal.tv/careers", "Apply / Careers ↗")</f>
        <v>Apply / Careers ↗</v>
      </c>
    </row>
    <row r="353" spans="1:7" ht="22.05" customHeight="1" x14ac:dyDescent="0.3">
      <c r="A353" s="11">
        <v>350</v>
      </c>
      <c r="B353" s="12" t="s">
        <v>785</v>
      </c>
      <c r="C353" s="13" t="s">
        <v>786</v>
      </c>
      <c r="D353" s="11" t="s">
        <v>387</v>
      </c>
      <c r="E353" s="14">
        <v>5.3</v>
      </c>
      <c r="F353" s="14">
        <v>8</v>
      </c>
      <c r="G353" s="2" t="str">
        <f>HYPERLINK("https://www.hoichoi.tv/careers", "Apply / Careers ↗")</f>
        <v>Apply / Careers ↗</v>
      </c>
    </row>
    <row r="354" spans="1:7" ht="22.05" customHeight="1" x14ac:dyDescent="0.3">
      <c r="A354" s="7">
        <v>351</v>
      </c>
      <c r="B354" s="8" t="s">
        <v>787</v>
      </c>
      <c r="C354" s="9" t="s">
        <v>788</v>
      </c>
      <c r="D354" s="7" t="s">
        <v>337</v>
      </c>
      <c r="E354" s="10">
        <v>6.6</v>
      </c>
      <c r="F354" s="10">
        <v>10</v>
      </c>
      <c r="G354" s="3" t="str">
        <f>HYPERLINK("https://www.leadsquared.com/careers/", "Apply / Careers ↗")</f>
        <v>Apply / Careers ↗</v>
      </c>
    </row>
    <row r="355" spans="1:7" ht="22.05" customHeight="1" x14ac:dyDescent="0.3">
      <c r="A355" s="11">
        <v>352</v>
      </c>
      <c r="B355" s="12" t="s">
        <v>789</v>
      </c>
      <c r="C355" s="13" t="s">
        <v>790</v>
      </c>
      <c r="D355" s="11" t="s">
        <v>287</v>
      </c>
      <c r="E355" s="14">
        <v>7</v>
      </c>
      <c r="F355" s="14">
        <v>10.5</v>
      </c>
      <c r="G355" s="2" t="str">
        <f>HYPERLINK("https://clevertap.com/careers/", "Apply / Careers ↗")</f>
        <v>Apply / Careers ↗</v>
      </c>
    </row>
    <row r="356" spans="1:7" ht="22.05" customHeight="1" x14ac:dyDescent="0.3">
      <c r="A356" s="7">
        <v>353</v>
      </c>
      <c r="B356" s="8" t="s">
        <v>791</v>
      </c>
      <c r="C356" s="9" t="s">
        <v>792</v>
      </c>
      <c r="D356" s="7" t="s">
        <v>287</v>
      </c>
      <c r="E356" s="10">
        <v>7</v>
      </c>
      <c r="F356" s="10">
        <v>10.5</v>
      </c>
      <c r="G356" s="3" t="str">
        <f>HYPERLINK("https://www.moengage.com/careers/", "Apply / Careers ↗")</f>
        <v>Apply / Careers ↗</v>
      </c>
    </row>
    <row r="357" spans="1:7" ht="22.05" customHeight="1" x14ac:dyDescent="0.3">
      <c r="A357" s="11">
        <v>354</v>
      </c>
      <c r="B357" s="12" t="s">
        <v>793</v>
      </c>
      <c r="C357" s="13" t="s">
        <v>794</v>
      </c>
      <c r="D357" s="11" t="s">
        <v>337</v>
      </c>
      <c r="E357" s="14">
        <v>6.6</v>
      </c>
      <c r="F357" s="14">
        <v>10</v>
      </c>
      <c r="G357" s="2" t="str">
        <f>HYPERLINK("https://webengage.com/careers/", "Apply / Careers ↗")</f>
        <v>Apply / Careers ↗</v>
      </c>
    </row>
    <row r="358" spans="1:7" ht="22.05" customHeight="1" x14ac:dyDescent="0.3">
      <c r="A358" s="7">
        <v>355</v>
      </c>
      <c r="B358" s="8" t="s">
        <v>795</v>
      </c>
      <c r="C358" s="9" t="s">
        <v>796</v>
      </c>
      <c r="D358" s="7" t="s">
        <v>340</v>
      </c>
      <c r="E358" s="10">
        <v>6.2</v>
      </c>
      <c r="F358" s="10">
        <v>9.1999999999999993</v>
      </c>
      <c r="G358" s="3" t="str">
        <f>HYPERLINK("https://exotel.com/careers/", "Apply / Careers ↗")</f>
        <v>Apply / Careers ↗</v>
      </c>
    </row>
    <row r="359" spans="1:7" ht="22.05" customHeight="1" x14ac:dyDescent="0.3">
      <c r="A359" s="11">
        <v>356</v>
      </c>
      <c r="B359" s="12" t="s">
        <v>797</v>
      </c>
      <c r="C359" s="13" t="s">
        <v>798</v>
      </c>
      <c r="D359" s="11" t="s">
        <v>340</v>
      </c>
      <c r="E359" s="14">
        <v>6.2</v>
      </c>
      <c r="F359" s="14">
        <v>9.1999999999999993</v>
      </c>
      <c r="G359" s="2" t="str">
        <f>HYPERLINK("https://www.gupshup.io/careers", "Apply / Careers ↗")</f>
        <v>Apply / Careers ↗</v>
      </c>
    </row>
    <row r="360" spans="1:7" ht="22.05" customHeight="1" x14ac:dyDescent="0.3">
      <c r="A360" s="7">
        <v>357</v>
      </c>
      <c r="B360" s="8" t="s">
        <v>799</v>
      </c>
      <c r="C360" s="9" t="s">
        <v>800</v>
      </c>
      <c r="D360" s="7" t="s">
        <v>345</v>
      </c>
      <c r="E360" s="10">
        <v>6</v>
      </c>
      <c r="F360" s="10">
        <v>9</v>
      </c>
      <c r="G360" s="3" t="str">
        <f>HYPERLINK("https://www.kaleyra.com/careers/", "Apply / Careers ↗")</f>
        <v>Apply / Careers ↗</v>
      </c>
    </row>
    <row r="361" spans="1:7" ht="22.05" customHeight="1" x14ac:dyDescent="0.3">
      <c r="A361" s="11">
        <v>358</v>
      </c>
      <c r="B361" s="12" t="s">
        <v>801</v>
      </c>
      <c r="C361" s="13" t="s">
        <v>802</v>
      </c>
      <c r="D361" s="11" t="s">
        <v>353</v>
      </c>
      <c r="E361" s="14">
        <v>5.8</v>
      </c>
      <c r="F361" s="14">
        <v>8.6</v>
      </c>
      <c r="G361" s="2" t="str">
        <f>HYPERLINK("https://www.routemobile.com/careers/", "Apply / Careers ↗")</f>
        <v>Apply / Careers ↗</v>
      </c>
    </row>
    <row r="362" spans="1:7" ht="22.05" customHeight="1" x14ac:dyDescent="0.3">
      <c r="A362" s="7">
        <v>359</v>
      </c>
      <c r="B362" s="8" t="s">
        <v>803</v>
      </c>
      <c r="C362" s="9" t="s">
        <v>804</v>
      </c>
      <c r="D362" s="7" t="s">
        <v>345</v>
      </c>
      <c r="E362" s="10">
        <v>6</v>
      </c>
      <c r="F362" s="10">
        <v>9</v>
      </c>
      <c r="G362" s="3" t="str">
        <f>HYPERLINK("https://www.tanla.com/careers.html", "Apply / Careers ↗")</f>
        <v>Apply / Careers ↗</v>
      </c>
    </row>
    <row r="363" spans="1:7" ht="22.05" customHeight="1" x14ac:dyDescent="0.3">
      <c r="A363" s="11">
        <v>360</v>
      </c>
      <c r="B363" s="12" t="s">
        <v>805</v>
      </c>
      <c r="C363" s="13" t="s">
        <v>806</v>
      </c>
      <c r="D363" s="11" t="s">
        <v>353</v>
      </c>
      <c r="E363" s="14">
        <v>5.8</v>
      </c>
      <c r="F363" s="14">
        <v>8.6</v>
      </c>
      <c r="G363" s="2" t="str">
        <f>HYPERLINK("https://www.vfirst.com/careers", "Apply / Careers ↗")</f>
        <v>Apply / Careers ↗</v>
      </c>
    </row>
    <row r="364" spans="1:7" ht="22.05" customHeight="1" x14ac:dyDescent="0.3">
      <c r="A364" s="7">
        <v>361</v>
      </c>
      <c r="B364" s="8" t="s">
        <v>807</v>
      </c>
      <c r="C364" s="9" t="s">
        <v>808</v>
      </c>
      <c r="D364" s="7" t="s">
        <v>353</v>
      </c>
      <c r="E364" s="10">
        <v>5.8</v>
      </c>
      <c r="F364" s="10">
        <v>8.6</v>
      </c>
      <c r="G364" s="3" t="str">
        <f>HYPERLINK("https://www.kfintech.com/careers/", "Apply / Careers ↗")</f>
        <v>Apply / Careers ↗</v>
      </c>
    </row>
    <row r="365" spans="1:7" ht="22.05" customHeight="1" x14ac:dyDescent="0.3">
      <c r="A365" s="11">
        <v>362</v>
      </c>
      <c r="B365" s="12" t="s">
        <v>809</v>
      </c>
      <c r="C365" s="13" t="s">
        <v>810</v>
      </c>
      <c r="D365" s="11" t="s">
        <v>353</v>
      </c>
      <c r="E365" s="14">
        <v>5.8</v>
      </c>
      <c r="F365" s="14">
        <v>8.6</v>
      </c>
      <c r="G365" s="2" t="str">
        <f>HYPERLINK("https://www.camsonline.com/about-cams/careers", "Apply / Careers ↗")</f>
        <v>Apply / Careers ↗</v>
      </c>
    </row>
    <row r="366" spans="1:7" ht="22.05" customHeight="1" x14ac:dyDescent="0.3">
      <c r="A366" s="7">
        <v>363</v>
      </c>
      <c r="B366" s="8" t="s">
        <v>811</v>
      </c>
      <c r="C366" s="9" t="s">
        <v>812</v>
      </c>
      <c r="D366" s="7" t="s">
        <v>345</v>
      </c>
      <c r="E366" s="10">
        <v>6</v>
      </c>
      <c r="F366" s="10">
        <v>9</v>
      </c>
      <c r="G366" s="3" t="str">
        <f>HYPERLINK("https://nsdl.co.in/careers.php", "Apply / Careers ↗")</f>
        <v>Apply / Careers ↗</v>
      </c>
    </row>
    <row r="367" spans="1:7" ht="22.05" customHeight="1" x14ac:dyDescent="0.3">
      <c r="A367" s="11">
        <v>364</v>
      </c>
      <c r="B367" s="12" t="s">
        <v>813</v>
      </c>
      <c r="C367" s="13" t="s">
        <v>814</v>
      </c>
      <c r="D367" s="11" t="s">
        <v>345</v>
      </c>
      <c r="E367" s="14">
        <v>6</v>
      </c>
      <c r="F367" s="14">
        <v>9</v>
      </c>
      <c r="G367" s="2" t="str">
        <f>HYPERLINK("https://www.cdslindia.com/careers/careers.html", "Apply / Careers ↗")</f>
        <v>Apply / Careers ↗</v>
      </c>
    </row>
    <row r="368" spans="1:7" ht="22.05" customHeight="1" x14ac:dyDescent="0.3">
      <c r="A368" s="7">
        <v>365</v>
      </c>
      <c r="B368" s="8" t="s">
        <v>815</v>
      </c>
      <c r="C368" s="9" t="s">
        <v>816</v>
      </c>
      <c r="D368" s="7" t="s">
        <v>337</v>
      </c>
      <c r="E368" s="10">
        <v>6.6</v>
      </c>
      <c r="F368" s="10">
        <v>10</v>
      </c>
      <c r="G368" s="3" t="str">
        <f>HYPERLINK("https://www.nseindia.com/about/careers", "Apply / Careers ↗")</f>
        <v>Apply / Careers ↗</v>
      </c>
    </row>
    <row r="369" spans="1:7" ht="22.05" customHeight="1" x14ac:dyDescent="0.3">
      <c r="A369" s="11">
        <v>366</v>
      </c>
      <c r="B369" s="12" t="s">
        <v>817</v>
      </c>
      <c r="C369" s="13" t="s">
        <v>818</v>
      </c>
      <c r="D369" s="11" t="s">
        <v>340</v>
      </c>
      <c r="E369" s="14">
        <v>6.2</v>
      </c>
      <c r="F369" s="14">
        <v>9.1999999999999993</v>
      </c>
      <c r="G369" s="2" t="str">
        <f>HYPERLINK("https://www.bseindia.com/static/about/careers.aspx", "Apply / Careers ↗")</f>
        <v>Apply / Careers ↗</v>
      </c>
    </row>
    <row r="370" spans="1:7" ht="22.05" customHeight="1" x14ac:dyDescent="0.3">
      <c r="A370" s="7">
        <v>367</v>
      </c>
      <c r="B370" s="8" t="s">
        <v>819</v>
      </c>
      <c r="C370" s="9" t="s">
        <v>820</v>
      </c>
      <c r="D370" s="7" t="s">
        <v>345</v>
      </c>
      <c r="E370" s="10">
        <v>6</v>
      </c>
      <c r="F370" s="10">
        <v>9</v>
      </c>
      <c r="G370" s="3" t="str">
        <f>HYPERLINK("https://www.mcxindia.com/careers", "Apply / Careers ↗")</f>
        <v>Apply / Careers ↗</v>
      </c>
    </row>
    <row r="371" spans="1:7" ht="22.05" customHeight="1" x14ac:dyDescent="0.3">
      <c r="A371" s="11">
        <v>368</v>
      </c>
      <c r="B371" s="12" t="s">
        <v>821</v>
      </c>
      <c r="C371" s="13" t="s">
        <v>822</v>
      </c>
      <c r="D371" s="11" t="s">
        <v>384</v>
      </c>
      <c r="E371" s="14">
        <v>5.5</v>
      </c>
      <c r="F371" s="14">
        <v>8.1999999999999993</v>
      </c>
      <c r="G371" s="2" t="str">
        <f>HYPERLINK("https://www.ncdex.com/careers", "Apply / Careers ↗")</f>
        <v>Apply / Careers ↗</v>
      </c>
    </row>
    <row r="372" spans="1:7" ht="22.05" customHeight="1" x14ac:dyDescent="0.3">
      <c r="A372" s="7">
        <v>369</v>
      </c>
      <c r="B372" s="8" t="s">
        <v>823</v>
      </c>
      <c r="C372" s="9" t="s">
        <v>824</v>
      </c>
      <c r="D372" s="7" t="s">
        <v>340</v>
      </c>
      <c r="E372" s="10">
        <v>6.2</v>
      </c>
      <c r="F372" s="10">
        <v>9.1999999999999993</v>
      </c>
      <c r="G372" s="3" t="str">
        <f>HYPERLINK("https://www.ccilindia.com/Careers/Pages/default.aspx", "Apply / Careers ↗")</f>
        <v>Apply / Careers ↗</v>
      </c>
    </row>
    <row r="373" spans="1:7" ht="22.05" customHeight="1" x14ac:dyDescent="0.3">
      <c r="A373" s="11">
        <v>370</v>
      </c>
      <c r="B373" s="12" t="s">
        <v>825</v>
      </c>
      <c r="C373" s="13" t="s">
        <v>826</v>
      </c>
      <c r="D373" s="11" t="s">
        <v>337</v>
      </c>
      <c r="E373" s="14">
        <v>6.6</v>
      </c>
      <c r="F373" s="14">
        <v>10</v>
      </c>
      <c r="G373" s="2" t="str">
        <f>HYPERLINK("https://www.npci.org.in/who-we-are/careers", "Apply / Careers ↗")</f>
        <v>Apply / Careers ↗</v>
      </c>
    </row>
    <row r="374" spans="1:7" ht="22.05" customHeight="1" x14ac:dyDescent="0.3">
      <c r="A374" s="7">
        <v>371</v>
      </c>
      <c r="B374" s="8" t="s">
        <v>827</v>
      </c>
      <c r="C374" s="9" t="s">
        <v>828</v>
      </c>
      <c r="D374" s="7" t="s">
        <v>337</v>
      </c>
      <c r="E374" s="10">
        <v>6.6</v>
      </c>
      <c r="F374" s="10">
        <v>10</v>
      </c>
      <c r="G374" s="3" t="str">
        <f>HYPERLINK("https://www.lendingkart.com/careers/", "Apply / Careers ↗")</f>
        <v>Apply / Careers ↗</v>
      </c>
    </row>
    <row r="375" spans="1:7" ht="22.05" customHeight="1" x14ac:dyDescent="0.3">
      <c r="A375" s="11">
        <v>372</v>
      </c>
      <c r="B375" s="12" t="s">
        <v>829</v>
      </c>
      <c r="C375" s="13" t="s">
        <v>830</v>
      </c>
      <c r="D375" s="11" t="s">
        <v>340</v>
      </c>
      <c r="E375" s="14">
        <v>6.2</v>
      </c>
      <c r="F375" s="14">
        <v>9.1999999999999993</v>
      </c>
      <c r="G375" s="2" t="str">
        <f>HYPERLINK("https://www.northernarc.com/careers", "Apply / Careers ↗")</f>
        <v>Apply / Careers ↗</v>
      </c>
    </row>
    <row r="376" spans="1:7" ht="22.05" customHeight="1" x14ac:dyDescent="0.3">
      <c r="A376" s="7">
        <v>373</v>
      </c>
      <c r="B376" s="8" t="s">
        <v>831</v>
      </c>
      <c r="C376" s="9" t="s">
        <v>832</v>
      </c>
      <c r="D376" s="7" t="s">
        <v>340</v>
      </c>
      <c r="E376" s="10">
        <v>6.2</v>
      </c>
      <c r="F376" s="10">
        <v>9.1999999999999993</v>
      </c>
      <c r="G376" s="3" t="str">
        <f>HYPERLINK("https://www.vivriticapital.com/careers.html", "Apply / Careers ↗")</f>
        <v>Apply / Careers ↗</v>
      </c>
    </row>
    <row r="377" spans="1:7" ht="22.05" customHeight="1" x14ac:dyDescent="0.3">
      <c r="A377" s="11">
        <v>374</v>
      </c>
      <c r="B377" s="12" t="s">
        <v>833</v>
      </c>
      <c r="C377" s="13" t="s">
        <v>834</v>
      </c>
      <c r="D377" s="11" t="s">
        <v>340</v>
      </c>
      <c r="E377" s="14">
        <v>6.2</v>
      </c>
      <c r="F377" s="14">
        <v>9.1999999999999993</v>
      </c>
      <c r="G377" s="2" t="str">
        <f>HYPERLINK("https://www.incred.com/careers.html", "Apply / Careers ↗")</f>
        <v>Apply / Careers ↗</v>
      </c>
    </row>
    <row r="378" spans="1:7" ht="22.05" customHeight="1" x14ac:dyDescent="0.3">
      <c r="A378" s="7">
        <v>375</v>
      </c>
      <c r="B378" s="8" t="s">
        <v>835</v>
      </c>
      <c r="C378" s="9" t="s">
        <v>836</v>
      </c>
      <c r="D378" s="7" t="s">
        <v>340</v>
      </c>
      <c r="E378" s="10">
        <v>6.2</v>
      </c>
      <c r="F378" s="10">
        <v>9.1999999999999993</v>
      </c>
      <c r="G378" s="3" t="str">
        <f>HYPERLINK("https://www.dmifinance.in/careers.html", "Apply / Careers ↗")</f>
        <v>Apply / Careers ↗</v>
      </c>
    </row>
    <row r="379" spans="1:7" ht="22.05" customHeight="1" x14ac:dyDescent="0.3">
      <c r="A379" s="11">
        <v>376</v>
      </c>
      <c r="B379" s="12" t="s">
        <v>837</v>
      </c>
      <c r="C379" s="13" t="s">
        <v>838</v>
      </c>
      <c r="D379" s="11" t="s">
        <v>353</v>
      </c>
      <c r="E379" s="14">
        <v>5.8</v>
      </c>
      <c r="F379" s="14">
        <v>8.6</v>
      </c>
      <c r="G379" s="2" t="str">
        <f>HYPERLINK("https://ayefin.com/careers/", "Apply / Careers ↗")</f>
        <v>Apply / Careers ↗</v>
      </c>
    </row>
    <row r="380" spans="1:7" ht="22.05" customHeight="1" x14ac:dyDescent="0.3">
      <c r="A380" s="7">
        <v>377</v>
      </c>
      <c r="B380" s="8" t="s">
        <v>839</v>
      </c>
      <c r="C380" s="9" t="s">
        <v>840</v>
      </c>
      <c r="D380" s="7" t="s">
        <v>384</v>
      </c>
      <c r="E380" s="10">
        <v>5.5</v>
      </c>
      <c r="F380" s="10">
        <v>8.1999999999999993</v>
      </c>
      <c r="G380" s="3" t="str">
        <f>HYPERLINK("https://kinaracapital.com/careers/", "Apply / Careers ↗")</f>
        <v>Apply / Careers ↗</v>
      </c>
    </row>
    <row r="381" spans="1:7" ht="22.05" customHeight="1" x14ac:dyDescent="0.3">
      <c r="A381" s="11">
        <v>378</v>
      </c>
      <c r="B381" s="12" t="s">
        <v>841</v>
      </c>
      <c r="C381" s="13" t="s">
        <v>842</v>
      </c>
      <c r="D381" s="11" t="s">
        <v>340</v>
      </c>
      <c r="E381" s="14">
        <v>6.2</v>
      </c>
      <c r="F381" s="14">
        <v>9.1999999999999993</v>
      </c>
      <c r="G381" s="2" t="str">
        <f>HYPERLINK("https://www.progcap.com/careers", "Apply / Careers ↗")</f>
        <v>Apply / Careers ↗</v>
      </c>
    </row>
    <row r="382" spans="1:7" ht="22.05" customHeight="1" x14ac:dyDescent="0.3">
      <c r="A382" s="7">
        <v>379</v>
      </c>
      <c r="B382" s="8" t="s">
        <v>843</v>
      </c>
      <c r="C382" s="9" t="s">
        <v>844</v>
      </c>
      <c r="D382" s="7" t="s">
        <v>340</v>
      </c>
      <c r="E382" s="10">
        <v>6.2</v>
      </c>
      <c r="F382" s="10">
        <v>9.1999999999999993</v>
      </c>
      <c r="G382" s="3" t="str">
        <f>HYPERLINK("https://www.rupifi.com/careers", "Apply / Careers ↗")</f>
        <v>Apply / Careers ↗</v>
      </c>
    </row>
    <row r="383" spans="1:7" ht="22.05" customHeight="1" x14ac:dyDescent="0.3">
      <c r="A383" s="11">
        <v>380</v>
      </c>
      <c r="B383" s="12" t="s">
        <v>845</v>
      </c>
      <c r="C383" s="13" t="s">
        <v>846</v>
      </c>
      <c r="D383" s="11" t="s">
        <v>387</v>
      </c>
      <c r="E383" s="14">
        <v>5.3</v>
      </c>
      <c r="F383" s="14">
        <v>8</v>
      </c>
      <c r="G383" s="2" t="str">
        <f>HYPERLINK("https://www.finova.in/careers", "Apply / Careers ↗")</f>
        <v>Apply / Careers ↗</v>
      </c>
    </row>
    <row r="384" spans="1:7" ht="22.05" customHeight="1" x14ac:dyDescent="0.3">
      <c r="A384" s="7">
        <v>381</v>
      </c>
      <c r="B384" s="8" t="s">
        <v>847</v>
      </c>
      <c r="C384" s="9" t="s">
        <v>848</v>
      </c>
      <c r="D384" s="7" t="s">
        <v>340</v>
      </c>
      <c r="E384" s="10">
        <v>6.2</v>
      </c>
      <c r="F384" s="10">
        <v>9.1999999999999993</v>
      </c>
      <c r="G384" s="3" t="str">
        <f>HYPERLINK("https://www.apollohospitals.com/careers/", "Apply / Careers ↗")</f>
        <v>Apply / Careers ↗</v>
      </c>
    </row>
    <row r="385" spans="1:7" ht="22.05" customHeight="1" x14ac:dyDescent="0.3">
      <c r="A385" s="11">
        <v>382</v>
      </c>
      <c r="B385" s="12" t="s">
        <v>849</v>
      </c>
      <c r="C385" s="13" t="s">
        <v>850</v>
      </c>
      <c r="D385" s="11" t="s">
        <v>337</v>
      </c>
      <c r="E385" s="14">
        <v>6.6</v>
      </c>
      <c r="F385" s="14">
        <v>10</v>
      </c>
      <c r="G385" s="2" t="str">
        <f>HYPERLINK("https://www.1mg.com/jobs", "Apply / Careers ↗")</f>
        <v>Apply / Careers ↗</v>
      </c>
    </row>
    <row r="386" spans="1:7" ht="22.05" customHeight="1" x14ac:dyDescent="0.3">
      <c r="A386" s="7">
        <v>383</v>
      </c>
      <c r="B386" s="8" t="s">
        <v>851</v>
      </c>
      <c r="C386" s="9" t="s">
        <v>852</v>
      </c>
      <c r="D386" s="7" t="s">
        <v>340</v>
      </c>
      <c r="E386" s="10">
        <v>6.2</v>
      </c>
      <c r="F386" s="10">
        <v>9.1999999999999993</v>
      </c>
      <c r="G386" s="3" t="str">
        <f>HYPERLINK("https://pharmeasy.in/careers", "Apply / Careers ↗")</f>
        <v>Apply / Careers ↗</v>
      </c>
    </row>
    <row r="387" spans="1:7" ht="22.05" customHeight="1" x14ac:dyDescent="0.3">
      <c r="A387" s="11">
        <v>384</v>
      </c>
      <c r="B387" s="12" t="s">
        <v>853</v>
      </c>
      <c r="C387" s="13" t="s">
        <v>854</v>
      </c>
      <c r="D387" s="11" t="s">
        <v>345</v>
      </c>
      <c r="E387" s="14">
        <v>6</v>
      </c>
      <c r="F387" s="14">
        <v>9</v>
      </c>
      <c r="G387" s="2" t="str">
        <f>HYPERLINK("https://www.netmeds.com/careers", "Apply / Careers ↗")</f>
        <v>Apply / Careers ↗</v>
      </c>
    </row>
    <row r="388" spans="1:7" ht="22.05" customHeight="1" x14ac:dyDescent="0.3">
      <c r="A388" s="7">
        <v>385</v>
      </c>
      <c r="B388" s="8" t="s">
        <v>855</v>
      </c>
      <c r="C388" s="9" t="s">
        <v>856</v>
      </c>
      <c r="D388" s="7" t="s">
        <v>345</v>
      </c>
      <c r="E388" s="10">
        <v>6</v>
      </c>
      <c r="F388" s="10">
        <v>9</v>
      </c>
      <c r="G388" s="3" t="str">
        <f>HYPERLINK("https://www.medibuddy.in/careers", "Apply / Careers ↗")</f>
        <v>Apply / Careers ↗</v>
      </c>
    </row>
    <row r="389" spans="1:7" ht="22.05" customHeight="1" x14ac:dyDescent="0.3">
      <c r="A389" s="11">
        <v>386</v>
      </c>
      <c r="B389" s="12" t="s">
        <v>857</v>
      </c>
      <c r="C389" s="13" t="s">
        <v>858</v>
      </c>
      <c r="D389" s="11" t="s">
        <v>340</v>
      </c>
      <c r="E389" s="14">
        <v>6.2</v>
      </c>
      <c r="F389" s="14">
        <v>9.1999999999999993</v>
      </c>
      <c r="G389" s="2" t="str">
        <f>HYPERLINK("https://www.practo.com/company/careers", "Apply / Careers ↗")</f>
        <v>Apply / Careers ↗</v>
      </c>
    </row>
    <row r="390" spans="1:7" ht="22.05" customHeight="1" x14ac:dyDescent="0.3">
      <c r="A390" s="7">
        <v>387</v>
      </c>
      <c r="B390" s="8" t="s">
        <v>859</v>
      </c>
      <c r="C390" s="9" t="s">
        <v>860</v>
      </c>
      <c r="D390" s="7" t="s">
        <v>360</v>
      </c>
      <c r="E390" s="10">
        <v>6.4</v>
      </c>
      <c r="F390" s="10">
        <v>9.5</v>
      </c>
      <c r="G390" s="3" t="str">
        <f>HYPERLINK("https://www.healthifyme.com/careers/", "Apply / Careers ↗")</f>
        <v>Apply / Careers ↗</v>
      </c>
    </row>
    <row r="391" spans="1:7" ht="22.05" customHeight="1" x14ac:dyDescent="0.3">
      <c r="A391" s="11">
        <v>388</v>
      </c>
      <c r="B391" s="12" t="s">
        <v>861</v>
      </c>
      <c r="C391" s="13" t="s">
        <v>862</v>
      </c>
      <c r="D391" s="11" t="s">
        <v>337</v>
      </c>
      <c r="E391" s="14">
        <v>6.6</v>
      </c>
      <c r="F391" s="14">
        <v>10</v>
      </c>
      <c r="G391" s="2" t="str">
        <f>HYPERLINK("https://www.cult.fit/careers", "Apply / Careers ↗")</f>
        <v>Apply / Careers ↗</v>
      </c>
    </row>
    <row r="392" spans="1:7" ht="22.05" customHeight="1" x14ac:dyDescent="0.3">
      <c r="A392" s="7">
        <v>389</v>
      </c>
      <c r="B392" s="8" t="s">
        <v>863</v>
      </c>
      <c r="C392" s="9" t="s">
        <v>864</v>
      </c>
      <c r="D392" s="7" t="s">
        <v>345</v>
      </c>
      <c r="E392" s="10">
        <v>6</v>
      </c>
      <c r="F392" s="10">
        <v>9</v>
      </c>
      <c r="G392" s="3" t="str">
        <f>HYPERLINK("https://www.orangehealth.in/careers", "Apply / Careers ↗")</f>
        <v>Apply / Careers ↗</v>
      </c>
    </row>
    <row r="393" spans="1:7" ht="22.05" customHeight="1" x14ac:dyDescent="0.3">
      <c r="A393" s="11">
        <v>390</v>
      </c>
      <c r="B393" s="12" t="s">
        <v>865</v>
      </c>
      <c r="C393" s="13" t="s">
        <v>866</v>
      </c>
      <c r="D393" s="11" t="s">
        <v>353</v>
      </c>
      <c r="E393" s="14">
        <v>5.8</v>
      </c>
      <c r="F393" s="14">
        <v>8.6</v>
      </c>
      <c r="G393" s="2" t="str">
        <f>HYPERLINK("https://redcliffelabs.com/careers", "Apply / Careers ↗")</f>
        <v>Apply / Careers ↗</v>
      </c>
    </row>
    <row r="394" spans="1:7" ht="22.05" customHeight="1" x14ac:dyDescent="0.3">
      <c r="A394" s="7">
        <v>391</v>
      </c>
      <c r="B394" s="8" t="s">
        <v>867</v>
      </c>
      <c r="C394" s="9" t="s">
        <v>868</v>
      </c>
      <c r="D394" s="7" t="s">
        <v>384</v>
      </c>
      <c r="E394" s="10">
        <v>5.5</v>
      </c>
      <c r="F394" s="10">
        <v>8.1999999999999993</v>
      </c>
      <c r="G394" s="3" t="str">
        <f>HYPERLINK("https://www.lalpathlabs.com/careers.aspx", "Apply / Careers ↗")</f>
        <v>Apply / Careers ↗</v>
      </c>
    </row>
    <row r="395" spans="1:7" ht="22.05" customHeight="1" x14ac:dyDescent="0.3">
      <c r="A395" s="11">
        <v>392</v>
      </c>
      <c r="B395" s="12" t="s">
        <v>869</v>
      </c>
      <c r="C395" s="13" t="s">
        <v>870</v>
      </c>
      <c r="D395" s="11" t="s">
        <v>384</v>
      </c>
      <c r="E395" s="14">
        <v>5.5</v>
      </c>
      <c r="F395" s="14">
        <v>8.1999999999999993</v>
      </c>
      <c r="G395" s="2" t="str">
        <f>HYPERLINK("https://www.metropolisindia.com/careers", "Apply / Careers ↗")</f>
        <v>Apply / Careers ↗</v>
      </c>
    </row>
    <row r="396" spans="1:7" ht="22.05" customHeight="1" x14ac:dyDescent="0.3">
      <c r="A396" s="7">
        <v>393</v>
      </c>
      <c r="B396" s="8" t="s">
        <v>871</v>
      </c>
      <c r="C396" s="9" t="s">
        <v>872</v>
      </c>
      <c r="D396" s="7" t="s">
        <v>387</v>
      </c>
      <c r="E396" s="10">
        <v>5.3</v>
      </c>
      <c r="F396" s="10">
        <v>8</v>
      </c>
      <c r="G396" s="3" t="str">
        <f>HYPERLINK("https://www.thyrocare.com/careers", "Apply / Careers ↗")</f>
        <v>Apply / Careers ↗</v>
      </c>
    </row>
    <row r="397" spans="1:7" ht="22.05" customHeight="1" x14ac:dyDescent="0.3">
      <c r="A397" s="11">
        <v>394</v>
      </c>
      <c r="B397" s="12" t="s">
        <v>873</v>
      </c>
      <c r="C397" s="13" t="s">
        <v>874</v>
      </c>
      <c r="D397" s="11" t="s">
        <v>482</v>
      </c>
      <c r="E397" s="14">
        <v>5.2</v>
      </c>
      <c r="F397" s="14">
        <v>7.8</v>
      </c>
      <c r="G397" s="2" t="str">
        <f>HYPERLINK("https://www.vijayadiagnostic.com/careers", "Apply / Careers ↗")</f>
        <v>Apply / Careers ↗</v>
      </c>
    </row>
    <row r="398" spans="1:7" ht="22.05" customHeight="1" x14ac:dyDescent="0.3">
      <c r="A398" s="7">
        <v>395</v>
      </c>
      <c r="B398" s="8" t="s">
        <v>875</v>
      </c>
      <c r="C398" s="9" t="s">
        <v>876</v>
      </c>
      <c r="D398" s="7" t="s">
        <v>353</v>
      </c>
      <c r="E398" s="10">
        <v>5.8</v>
      </c>
      <c r="F398" s="10">
        <v>8.6</v>
      </c>
      <c r="G398" s="3" t="str">
        <f>HYPERLINK("https://www.maxhealthcare.in/careers", "Apply / Careers ↗")</f>
        <v>Apply / Careers ↗</v>
      </c>
    </row>
    <row r="399" spans="1:7" ht="22.05" customHeight="1" x14ac:dyDescent="0.3">
      <c r="A399" s="11">
        <v>396</v>
      </c>
      <c r="B399" s="12" t="s">
        <v>877</v>
      </c>
      <c r="C399" s="13" t="s">
        <v>878</v>
      </c>
      <c r="D399" s="11" t="s">
        <v>353</v>
      </c>
      <c r="E399" s="14">
        <v>5.8</v>
      </c>
      <c r="F399" s="14">
        <v>8.6</v>
      </c>
      <c r="G399" s="2" t="str">
        <f>HYPERLINK("https://www.fortishealthcare.com/careers", "Apply / Careers ↗")</f>
        <v>Apply / Careers ↗</v>
      </c>
    </row>
    <row r="400" spans="1:7" ht="22.05" customHeight="1" x14ac:dyDescent="0.3">
      <c r="A400" s="7">
        <v>397</v>
      </c>
      <c r="B400" s="8" t="s">
        <v>879</v>
      </c>
      <c r="C400" s="9" t="s">
        <v>880</v>
      </c>
      <c r="D400" s="7" t="s">
        <v>353</v>
      </c>
      <c r="E400" s="10">
        <v>5.8</v>
      </c>
      <c r="F400" s="10">
        <v>8.6</v>
      </c>
      <c r="G400" s="3" t="str">
        <f>HYPERLINK("https://www.narayanahealth.org/careers", "Apply / Careers ↗")</f>
        <v>Apply / Careers ↗</v>
      </c>
    </row>
    <row r="401" spans="1:7" ht="22.05" customHeight="1" x14ac:dyDescent="0.3">
      <c r="A401" s="11">
        <v>398</v>
      </c>
      <c r="B401" s="12" t="s">
        <v>881</v>
      </c>
      <c r="C401" s="13" t="s">
        <v>882</v>
      </c>
      <c r="D401" s="11" t="s">
        <v>353</v>
      </c>
      <c r="E401" s="14">
        <v>5.8</v>
      </c>
      <c r="F401" s="14">
        <v>8.6</v>
      </c>
      <c r="G401" s="2" t="str">
        <f>HYPERLINK("https://www.manipalhospitals.com/careers/", "Apply / Careers ↗")</f>
        <v>Apply / Careers ↗</v>
      </c>
    </row>
    <row r="402" spans="1:7" ht="22.05" customHeight="1" x14ac:dyDescent="0.3">
      <c r="A402" s="7">
        <v>399</v>
      </c>
      <c r="B402" s="8" t="s">
        <v>883</v>
      </c>
      <c r="C402" s="9" t="s">
        <v>884</v>
      </c>
      <c r="D402" s="7" t="s">
        <v>384</v>
      </c>
      <c r="E402" s="10">
        <v>5.5</v>
      </c>
      <c r="F402" s="10">
        <v>8.1999999999999993</v>
      </c>
      <c r="G402" s="3" t="str">
        <f>HYPERLINK("https://www.asterdmhealthcare.com/careers", "Apply / Careers ↗")</f>
        <v>Apply / Careers ↗</v>
      </c>
    </row>
    <row r="403" spans="1:7" ht="22.05" customHeight="1" x14ac:dyDescent="0.3">
      <c r="A403" s="11">
        <v>400</v>
      </c>
      <c r="B403" s="12" t="s">
        <v>885</v>
      </c>
      <c r="C403" s="13" t="s">
        <v>886</v>
      </c>
      <c r="D403" s="11" t="s">
        <v>384</v>
      </c>
      <c r="E403" s="14">
        <v>5.5</v>
      </c>
      <c r="F403" s="14">
        <v>8.1999999999999993</v>
      </c>
      <c r="G403" s="2" t="str">
        <f>HYPERLINK("https://www.medanta.org/careers", "Apply / Careers ↗")</f>
        <v>Apply / Careers ↗</v>
      </c>
    </row>
    <row r="404" spans="1:7" ht="22.05" customHeight="1" x14ac:dyDescent="0.3">
      <c r="A404" s="7">
        <v>401</v>
      </c>
      <c r="B404" s="8" t="s">
        <v>887</v>
      </c>
      <c r="C404" s="9" t="s">
        <v>888</v>
      </c>
      <c r="D404" s="7" t="s">
        <v>384</v>
      </c>
      <c r="E404" s="10">
        <v>5.5</v>
      </c>
      <c r="F404" s="10">
        <v>8.1999999999999993</v>
      </c>
      <c r="G404" s="3" t="str">
        <f>HYPERLINK("https://www.tatamotors.com/careers/", "Apply / Careers ↗")</f>
        <v>Apply / Careers ↗</v>
      </c>
    </row>
    <row r="405" spans="1:7" ht="22.05" customHeight="1" x14ac:dyDescent="0.3">
      <c r="A405" s="11">
        <v>402</v>
      </c>
      <c r="B405" s="12" t="s">
        <v>889</v>
      </c>
      <c r="C405" s="13" t="s">
        <v>890</v>
      </c>
      <c r="D405" s="11" t="s">
        <v>384</v>
      </c>
      <c r="E405" s="14">
        <v>5.5</v>
      </c>
      <c r="F405" s="14">
        <v>8.1999999999999993</v>
      </c>
      <c r="G405" s="2" t="str">
        <f>HYPERLINK("https://www.mahindra.com/careers", "Apply / Careers ↗")</f>
        <v>Apply / Careers ↗</v>
      </c>
    </row>
    <row r="406" spans="1:7" ht="22.05" customHeight="1" x14ac:dyDescent="0.3">
      <c r="A406" s="7">
        <v>403</v>
      </c>
      <c r="B406" s="8" t="s">
        <v>891</v>
      </c>
      <c r="C406" s="9" t="s">
        <v>892</v>
      </c>
      <c r="D406" s="7" t="s">
        <v>384</v>
      </c>
      <c r="E406" s="10">
        <v>5.5</v>
      </c>
      <c r="F406" s="10">
        <v>8.1999999999999993</v>
      </c>
      <c r="G406" s="3" t="str">
        <f>HYPERLINK("https://www.marutisuzuki.com/corporate/careers", "Apply / Careers ↗")</f>
        <v>Apply / Careers ↗</v>
      </c>
    </row>
    <row r="407" spans="1:7" ht="22.05" customHeight="1" x14ac:dyDescent="0.3">
      <c r="A407" s="11">
        <v>404</v>
      </c>
      <c r="B407" s="12" t="s">
        <v>893</v>
      </c>
      <c r="C407" s="13" t="s">
        <v>894</v>
      </c>
      <c r="D407" s="11" t="s">
        <v>387</v>
      </c>
      <c r="E407" s="14">
        <v>5.3</v>
      </c>
      <c r="F407" s="14">
        <v>8</v>
      </c>
      <c r="G407" s="2" t="str">
        <f>HYPERLINK("https://www.hyundai.com/in/en/hyundai-story/careers", "Apply / Careers ↗")</f>
        <v>Apply / Careers ↗</v>
      </c>
    </row>
    <row r="408" spans="1:7" ht="22.05" customHeight="1" x14ac:dyDescent="0.3">
      <c r="A408" s="7">
        <v>405</v>
      </c>
      <c r="B408" s="8" t="s">
        <v>895</v>
      </c>
      <c r="C408" s="9" t="s">
        <v>896</v>
      </c>
      <c r="D408" s="7" t="s">
        <v>387</v>
      </c>
      <c r="E408" s="10">
        <v>5.3</v>
      </c>
      <c r="F408" s="10">
        <v>8</v>
      </c>
      <c r="G408" s="3" t="str">
        <f>HYPERLINK("https://www.kia.com/in/about-kia/careers.html", "Apply / Careers ↗")</f>
        <v>Apply / Careers ↗</v>
      </c>
    </row>
    <row r="409" spans="1:7" ht="22.05" customHeight="1" x14ac:dyDescent="0.3">
      <c r="A409" s="11">
        <v>406</v>
      </c>
      <c r="B409" s="12" t="s">
        <v>897</v>
      </c>
      <c r="C409" s="13" t="s">
        <v>898</v>
      </c>
      <c r="D409" s="11" t="s">
        <v>387</v>
      </c>
      <c r="E409" s="14">
        <v>5.3</v>
      </c>
      <c r="F409" s="14">
        <v>8</v>
      </c>
      <c r="G409" s="2" t="str">
        <f>HYPERLINK("https://www.toyotabharat.com/careers/", "Apply / Careers ↗")</f>
        <v>Apply / Careers ↗</v>
      </c>
    </row>
    <row r="410" spans="1:7" ht="22.05" customHeight="1" x14ac:dyDescent="0.3">
      <c r="A410" s="7">
        <v>407</v>
      </c>
      <c r="B410" s="8" t="s">
        <v>899</v>
      </c>
      <c r="C410" s="9" t="s">
        <v>900</v>
      </c>
      <c r="D410" s="7" t="s">
        <v>482</v>
      </c>
      <c r="E410" s="10">
        <v>5.2</v>
      </c>
      <c r="F410" s="10">
        <v>7.8</v>
      </c>
      <c r="G410" s="3" t="str">
        <f>HYPERLINK("https://www.hondacarindia.com/careers", "Apply / Careers ↗")</f>
        <v>Apply / Careers ↗</v>
      </c>
    </row>
    <row r="411" spans="1:7" ht="22.05" customHeight="1" x14ac:dyDescent="0.3">
      <c r="A411" s="11">
        <v>408</v>
      </c>
      <c r="B411" s="12" t="s">
        <v>901</v>
      </c>
      <c r="C411" s="13" t="s">
        <v>902</v>
      </c>
      <c r="D411" s="11" t="s">
        <v>387</v>
      </c>
      <c r="E411" s="14">
        <v>5.3</v>
      </c>
      <c r="F411" s="14">
        <v>8</v>
      </c>
      <c r="G411" s="2" t="str">
        <f>HYPERLINK("https://www.mgmotor.co.in/careers", "Apply / Careers ↗")</f>
        <v>Apply / Careers ↗</v>
      </c>
    </row>
    <row r="412" spans="1:7" ht="22.05" customHeight="1" x14ac:dyDescent="0.3">
      <c r="A412" s="7">
        <v>409</v>
      </c>
      <c r="B412" s="8" t="s">
        <v>903</v>
      </c>
      <c r="C412" s="9" t="s">
        <v>904</v>
      </c>
      <c r="D412" s="7" t="s">
        <v>387</v>
      </c>
      <c r="E412" s="10">
        <v>5.3</v>
      </c>
      <c r="F412" s="10">
        <v>8</v>
      </c>
      <c r="G412" s="3" t="str">
        <f>HYPERLINK("https://www.skoda-auto.co.in/company/careers", "Apply / Careers ↗")</f>
        <v>Apply / Careers ↗</v>
      </c>
    </row>
    <row r="413" spans="1:7" ht="22.05" customHeight="1" x14ac:dyDescent="0.3">
      <c r="A413" s="11">
        <v>410</v>
      </c>
      <c r="B413" s="12" t="s">
        <v>905</v>
      </c>
      <c r="C413" s="13" t="s">
        <v>906</v>
      </c>
      <c r="D413" s="11" t="s">
        <v>384</v>
      </c>
      <c r="E413" s="14">
        <v>5.5</v>
      </c>
      <c r="F413" s="14">
        <v>8.1999999999999993</v>
      </c>
      <c r="G413" s="2" t="str">
        <f>HYPERLINK("https://www.rntbci.in/careers/", "Apply / Careers ↗")</f>
        <v>Apply / Careers ↗</v>
      </c>
    </row>
    <row r="414" spans="1:7" ht="22.05" customHeight="1" x14ac:dyDescent="0.3">
      <c r="A414" s="7">
        <v>411</v>
      </c>
      <c r="B414" s="8" t="s">
        <v>907</v>
      </c>
      <c r="C414" s="9" t="s">
        <v>908</v>
      </c>
      <c r="D414" s="7" t="s">
        <v>482</v>
      </c>
      <c r="E414" s="10">
        <v>5.2</v>
      </c>
      <c r="F414" s="10">
        <v>7.8</v>
      </c>
      <c r="G414" s="3" t="str">
        <f>HYPERLINK("https://www.heromotocorp.com/en-in/careers.html", "Apply / Careers ↗")</f>
        <v>Apply / Careers ↗</v>
      </c>
    </row>
    <row r="415" spans="1:7" ht="22.05" customHeight="1" x14ac:dyDescent="0.3">
      <c r="A415" s="11">
        <v>412</v>
      </c>
      <c r="B415" s="12" t="s">
        <v>909</v>
      </c>
      <c r="C415" s="13" t="s">
        <v>910</v>
      </c>
      <c r="D415" s="11" t="s">
        <v>387</v>
      </c>
      <c r="E415" s="14">
        <v>5.3</v>
      </c>
      <c r="F415" s="14">
        <v>8</v>
      </c>
      <c r="G415" s="2" t="str">
        <f>HYPERLINK("https://www.bajajauto.com/careers", "Apply / Careers ↗")</f>
        <v>Apply / Careers ↗</v>
      </c>
    </row>
    <row r="416" spans="1:7" ht="22.05" customHeight="1" x14ac:dyDescent="0.3">
      <c r="A416" s="7">
        <v>413</v>
      </c>
      <c r="B416" s="8" t="s">
        <v>911</v>
      </c>
      <c r="C416" s="9" t="s">
        <v>912</v>
      </c>
      <c r="D416" s="7" t="s">
        <v>387</v>
      </c>
      <c r="E416" s="10">
        <v>5.3</v>
      </c>
      <c r="F416" s="10">
        <v>8</v>
      </c>
      <c r="G416" s="3" t="str">
        <f>HYPERLINK("https://www.tvsmotor.com/careers", "Apply / Careers ↗")</f>
        <v>Apply / Careers ↗</v>
      </c>
    </row>
    <row r="417" spans="1:7" ht="22.05" customHeight="1" x14ac:dyDescent="0.3">
      <c r="A417" s="11">
        <v>414</v>
      </c>
      <c r="B417" s="12" t="s">
        <v>913</v>
      </c>
      <c r="C417" s="13" t="s">
        <v>914</v>
      </c>
      <c r="D417" s="11" t="s">
        <v>384</v>
      </c>
      <c r="E417" s="14">
        <v>5.5</v>
      </c>
      <c r="F417" s="14">
        <v>8.1999999999999993</v>
      </c>
      <c r="G417" s="2" t="str">
        <f>HYPERLINK("https://www.royalenfield.com/in/en/careers/", "Apply / Careers ↗")</f>
        <v>Apply / Careers ↗</v>
      </c>
    </row>
    <row r="418" spans="1:7" ht="22.05" customHeight="1" x14ac:dyDescent="0.3">
      <c r="A418" s="7">
        <v>415</v>
      </c>
      <c r="B418" s="8" t="s">
        <v>915</v>
      </c>
      <c r="C418" s="9" t="s">
        <v>916</v>
      </c>
      <c r="D418" s="7" t="s">
        <v>340</v>
      </c>
      <c r="E418" s="10">
        <v>6.2</v>
      </c>
      <c r="F418" s="10">
        <v>9.1999999999999993</v>
      </c>
      <c r="G418" s="3" t="str">
        <f>HYPERLINK("https://www.atherenergy.com/careers", "Apply / Careers ↗")</f>
        <v>Apply / Careers ↗</v>
      </c>
    </row>
    <row r="419" spans="1:7" ht="22.05" customHeight="1" x14ac:dyDescent="0.3">
      <c r="A419" s="11">
        <v>416</v>
      </c>
      <c r="B419" s="12" t="s">
        <v>917</v>
      </c>
      <c r="C419" s="13" t="s">
        <v>918</v>
      </c>
      <c r="D419" s="11" t="s">
        <v>340</v>
      </c>
      <c r="E419" s="14">
        <v>6.2</v>
      </c>
      <c r="F419" s="14">
        <v>9.1999999999999993</v>
      </c>
      <c r="G419" s="2" t="str">
        <f>HYPERLINK("https://olaelectric.com/careers", "Apply / Careers ↗")</f>
        <v>Apply / Careers ↗</v>
      </c>
    </row>
    <row r="420" spans="1:7" ht="22.05" customHeight="1" x14ac:dyDescent="0.3">
      <c r="A420" s="7">
        <v>417</v>
      </c>
      <c r="B420" s="8" t="s">
        <v>919</v>
      </c>
      <c r="C420" s="9" t="s">
        <v>920</v>
      </c>
      <c r="D420" s="7" t="s">
        <v>353</v>
      </c>
      <c r="E420" s="10">
        <v>5.8</v>
      </c>
      <c r="F420" s="10">
        <v>8.6</v>
      </c>
      <c r="G420" s="3" t="str">
        <f>HYPERLINK("https://www.simpleenergy.in/careers", "Apply / Careers ↗")</f>
        <v>Apply / Careers ↗</v>
      </c>
    </row>
    <row r="421" spans="1:7" ht="22.05" customHeight="1" x14ac:dyDescent="0.3">
      <c r="A421" s="11">
        <v>418</v>
      </c>
      <c r="B421" s="12" t="s">
        <v>921</v>
      </c>
      <c r="C421" s="13" t="s">
        <v>922</v>
      </c>
      <c r="D421" s="11" t="s">
        <v>345</v>
      </c>
      <c r="E421" s="14">
        <v>6</v>
      </c>
      <c r="F421" s="14">
        <v>9</v>
      </c>
      <c r="G421" s="2" t="str">
        <f>HYPERLINK("https://www.ultraviolette.com/careers", "Apply / Careers ↗")</f>
        <v>Apply / Careers ↗</v>
      </c>
    </row>
    <row r="422" spans="1:7" ht="22.05" customHeight="1" x14ac:dyDescent="0.3">
      <c r="A422" s="7">
        <v>419</v>
      </c>
      <c r="B422" s="8" t="s">
        <v>923</v>
      </c>
      <c r="C422" s="9" t="s">
        <v>924</v>
      </c>
      <c r="D422" s="7" t="s">
        <v>353</v>
      </c>
      <c r="E422" s="10">
        <v>5.8</v>
      </c>
      <c r="F422" s="10">
        <v>8.6</v>
      </c>
      <c r="G422" s="3" t="str">
        <f>HYPERLINK("https://www.rideriver.com/careers", "Apply / Careers ↗")</f>
        <v>Apply / Careers ↗</v>
      </c>
    </row>
    <row r="423" spans="1:7" ht="22.05" customHeight="1" x14ac:dyDescent="0.3">
      <c r="A423" s="11">
        <v>420</v>
      </c>
      <c r="B423" s="12" t="s">
        <v>925</v>
      </c>
      <c r="C423" s="13" t="s">
        <v>926</v>
      </c>
      <c r="D423" s="11" t="s">
        <v>387</v>
      </c>
      <c r="E423" s="14">
        <v>5.3</v>
      </c>
      <c r="F423" s="14">
        <v>8</v>
      </c>
      <c r="G423" s="2" t="str">
        <f>HYPERLINK("https://torkmotors.com/careers/", "Apply / Careers ↗")</f>
        <v>Apply / Careers ↗</v>
      </c>
    </row>
    <row r="424" spans="1:7" ht="22.05" customHeight="1" x14ac:dyDescent="0.3">
      <c r="A424" s="7">
        <v>421</v>
      </c>
      <c r="B424" s="8" t="s">
        <v>927</v>
      </c>
      <c r="C424" s="9" t="s">
        <v>928</v>
      </c>
      <c r="D424" s="7" t="s">
        <v>482</v>
      </c>
      <c r="E424" s="10">
        <v>5.2</v>
      </c>
      <c r="F424" s="10">
        <v>7.8</v>
      </c>
      <c r="G424" s="3" t="str">
        <f>HYPERLINK("https://www.mrftyres.com/careers", "Apply / Careers ↗")</f>
        <v>Apply / Careers ↗</v>
      </c>
    </row>
    <row r="425" spans="1:7" ht="22.05" customHeight="1" x14ac:dyDescent="0.3">
      <c r="A425" s="11">
        <v>422</v>
      </c>
      <c r="B425" s="12" t="s">
        <v>929</v>
      </c>
      <c r="C425" s="13" t="s">
        <v>930</v>
      </c>
      <c r="D425" s="11" t="s">
        <v>482</v>
      </c>
      <c r="E425" s="14">
        <v>5.2</v>
      </c>
      <c r="F425" s="14">
        <v>7.8</v>
      </c>
      <c r="G425" s="2" t="str">
        <f>HYPERLINK("https://www.apollotyres.com/en-in/careers/", "Apply / Careers ↗")</f>
        <v>Apply / Careers ↗</v>
      </c>
    </row>
    <row r="426" spans="1:7" ht="22.05" customHeight="1" x14ac:dyDescent="0.3">
      <c r="A426" s="7">
        <v>423</v>
      </c>
      <c r="B426" s="8" t="s">
        <v>931</v>
      </c>
      <c r="C426" s="9" t="s">
        <v>932</v>
      </c>
      <c r="D426" s="7" t="s">
        <v>482</v>
      </c>
      <c r="E426" s="10">
        <v>5.2</v>
      </c>
      <c r="F426" s="10">
        <v>7.8</v>
      </c>
      <c r="G426" s="3" t="str">
        <f>HYPERLINK("https://www.ceat.com/careers.html", "Apply / Careers ↗")</f>
        <v>Apply / Careers ↗</v>
      </c>
    </row>
    <row r="427" spans="1:7" ht="22.05" customHeight="1" x14ac:dyDescent="0.3">
      <c r="A427" s="11">
        <v>424</v>
      </c>
      <c r="B427" s="12" t="s">
        <v>933</v>
      </c>
      <c r="C427" s="13" t="s">
        <v>934</v>
      </c>
      <c r="D427" s="11" t="s">
        <v>446</v>
      </c>
      <c r="E427" s="14">
        <v>5</v>
      </c>
      <c r="F427" s="14">
        <v>7.6</v>
      </c>
      <c r="G427" s="2" t="str">
        <f>HYPERLINK("https://www.jktyre.com/careers.aspx", "Apply / Careers ↗")</f>
        <v>Apply / Careers ↗</v>
      </c>
    </row>
    <row r="428" spans="1:7" ht="22.05" customHeight="1" x14ac:dyDescent="0.3">
      <c r="A428" s="7">
        <v>425</v>
      </c>
      <c r="B428" s="8" t="s">
        <v>935</v>
      </c>
      <c r="C428" s="9" t="s">
        <v>936</v>
      </c>
      <c r="D428" s="7" t="s">
        <v>482</v>
      </c>
      <c r="E428" s="10">
        <v>5.2</v>
      </c>
      <c r="F428" s="10">
        <v>7.8</v>
      </c>
      <c r="G428" s="3" t="str">
        <f>HYPERLINK("https://www.bkt-tires.com/ww/en/careers", "Apply / Careers ↗")</f>
        <v>Apply / Careers ↗</v>
      </c>
    </row>
    <row r="429" spans="1:7" ht="22.05" customHeight="1" x14ac:dyDescent="0.3">
      <c r="A429" s="11">
        <v>426</v>
      </c>
      <c r="B429" s="12" t="s">
        <v>937</v>
      </c>
      <c r="C429" s="13" t="s">
        <v>938</v>
      </c>
      <c r="D429" s="11" t="s">
        <v>482</v>
      </c>
      <c r="E429" s="14">
        <v>5.2</v>
      </c>
      <c r="F429" s="14">
        <v>7.8</v>
      </c>
      <c r="G429" s="2" t="str">
        <f>HYPERLINK("https://www.motherson.com/careers", "Apply / Careers ↗")</f>
        <v>Apply / Careers ↗</v>
      </c>
    </row>
    <row r="430" spans="1:7" ht="22.05" customHeight="1" x14ac:dyDescent="0.3">
      <c r="A430" s="7">
        <v>427</v>
      </c>
      <c r="B430" s="8" t="s">
        <v>939</v>
      </c>
      <c r="C430" s="9" t="s">
        <v>940</v>
      </c>
      <c r="D430" s="7" t="s">
        <v>482</v>
      </c>
      <c r="E430" s="10">
        <v>5.2</v>
      </c>
      <c r="F430" s="10">
        <v>7.8</v>
      </c>
      <c r="G430" s="3" t="str">
        <f>HYPERLINK("https://www.bharatforge.com/careers", "Apply / Careers ↗")</f>
        <v>Apply / Careers ↗</v>
      </c>
    </row>
    <row r="431" spans="1:7" ht="22.05" customHeight="1" x14ac:dyDescent="0.3">
      <c r="A431" s="11">
        <v>428</v>
      </c>
      <c r="B431" s="12" t="s">
        <v>941</v>
      </c>
      <c r="C431" s="13" t="s">
        <v>942</v>
      </c>
      <c r="D431" s="11" t="s">
        <v>384</v>
      </c>
      <c r="E431" s="14">
        <v>5.5</v>
      </c>
      <c r="F431" s="14">
        <v>8.1999999999999993</v>
      </c>
      <c r="G431" s="2" t="str">
        <f>HYPERLINK("https://www.sonacomstar.com/careers", "Apply / Careers ↗")</f>
        <v>Apply / Careers ↗</v>
      </c>
    </row>
    <row r="432" spans="1:7" ht="22.05" customHeight="1" x14ac:dyDescent="0.3">
      <c r="A432" s="7">
        <v>429</v>
      </c>
      <c r="B432" s="8" t="s">
        <v>943</v>
      </c>
      <c r="C432" s="9" t="s">
        <v>944</v>
      </c>
      <c r="D432" s="7" t="s">
        <v>446</v>
      </c>
      <c r="E432" s="10">
        <v>5</v>
      </c>
      <c r="F432" s="10">
        <v>7.6</v>
      </c>
      <c r="G432" s="3" t="str">
        <f>HYPERLINK("https://www.sundram.com/careers.php", "Apply / Careers ↗")</f>
        <v>Apply / Careers ↗</v>
      </c>
    </row>
    <row r="433" spans="1:7" ht="22.05" customHeight="1" x14ac:dyDescent="0.3">
      <c r="A433" s="11">
        <v>430</v>
      </c>
      <c r="B433" s="12" t="s">
        <v>945</v>
      </c>
      <c r="C433" s="13" t="s">
        <v>946</v>
      </c>
      <c r="D433" s="11" t="s">
        <v>446</v>
      </c>
      <c r="E433" s="14">
        <v>5</v>
      </c>
      <c r="F433" s="14">
        <v>7.6</v>
      </c>
      <c r="G433" s="2" t="str">
        <f>HYPERLINK("https://varroc.com/careers/", "Apply / Careers ↗")</f>
        <v>Apply / Careers ↗</v>
      </c>
    </row>
    <row r="434" spans="1:7" ht="22.05" customHeight="1" x14ac:dyDescent="0.3">
      <c r="A434" s="7">
        <v>431</v>
      </c>
      <c r="B434" s="8" t="s">
        <v>947</v>
      </c>
      <c r="C434" s="9" t="s">
        <v>948</v>
      </c>
      <c r="D434" s="7" t="s">
        <v>446</v>
      </c>
      <c r="E434" s="10">
        <v>5</v>
      </c>
      <c r="F434" s="10">
        <v>7.6</v>
      </c>
      <c r="G434" s="3" t="str">
        <f>HYPERLINK("https://www.endurancegroup.com/careers/", "Apply / Careers ↗")</f>
        <v>Apply / Careers ↗</v>
      </c>
    </row>
    <row r="435" spans="1:7" ht="22.05" customHeight="1" x14ac:dyDescent="0.3">
      <c r="A435" s="11">
        <v>432</v>
      </c>
      <c r="B435" s="12" t="s">
        <v>949</v>
      </c>
      <c r="C435" s="13" t="s">
        <v>950</v>
      </c>
      <c r="D435" s="11" t="s">
        <v>446</v>
      </c>
      <c r="E435" s="14">
        <v>5</v>
      </c>
      <c r="F435" s="14">
        <v>7.6</v>
      </c>
      <c r="G435" s="2" t="str">
        <f>HYPERLINK("https://www.exideindustries.com/careers/current-openings.aspx", "Apply / Careers ↗")</f>
        <v>Apply / Careers ↗</v>
      </c>
    </row>
    <row r="436" spans="1:7" ht="22.05" customHeight="1" x14ac:dyDescent="0.3">
      <c r="A436" s="7">
        <v>433</v>
      </c>
      <c r="B436" s="8" t="s">
        <v>951</v>
      </c>
      <c r="C436" s="9" t="s">
        <v>952</v>
      </c>
      <c r="D436" s="7" t="s">
        <v>446</v>
      </c>
      <c r="E436" s="10">
        <v>5</v>
      </c>
      <c r="F436" s="10">
        <v>7.6</v>
      </c>
      <c r="G436" s="3" t="str">
        <f>HYPERLINK("https://www.amararaja.com/careers", "Apply / Careers ↗")</f>
        <v>Apply / Careers ↗</v>
      </c>
    </row>
    <row r="437" spans="1:7" ht="22.05" customHeight="1" x14ac:dyDescent="0.3">
      <c r="A437" s="11">
        <v>434</v>
      </c>
      <c r="B437" s="12" t="s">
        <v>953</v>
      </c>
      <c r="C437" s="13" t="s">
        <v>954</v>
      </c>
      <c r="D437" s="11" t="s">
        <v>482</v>
      </c>
      <c r="E437" s="14">
        <v>5.2</v>
      </c>
      <c r="F437" s="14">
        <v>7.8</v>
      </c>
      <c r="G437" s="2" t="str">
        <f>HYPERLINK("https://www.unominda.com/careers", "Apply / Careers ↗")</f>
        <v>Apply / Careers ↗</v>
      </c>
    </row>
    <row r="438" spans="1:7" ht="22.05" customHeight="1" x14ac:dyDescent="0.3">
      <c r="A438" s="7">
        <v>435</v>
      </c>
      <c r="B438" s="8" t="s">
        <v>955</v>
      </c>
      <c r="C438" s="9" t="s">
        <v>956</v>
      </c>
      <c r="D438" s="7" t="s">
        <v>706</v>
      </c>
      <c r="E438" s="10">
        <v>4.8</v>
      </c>
      <c r="F438" s="10">
        <v>7.2</v>
      </c>
      <c r="G438" s="3" t="str">
        <f>HYPERLINK("https://suprajit.com/careers/", "Apply / Careers ↗")</f>
        <v>Apply / Careers ↗</v>
      </c>
    </row>
    <row r="439" spans="1:7" ht="22.05" customHeight="1" x14ac:dyDescent="0.3">
      <c r="A439" s="11">
        <v>436</v>
      </c>
      <c r="B439" s="12" t="s">
        <v>957</v>
      </c>
      <c r="C439" s="13" t="s">
        <v>958</v>
      </c>
      <c r="D439" s="11" t="s">
        <v>446</v>
      </c>
      <c r="E439" s="14">
        <v>5</v>
      </c>
      <c r="F439" s="14">
        <v>7.6</v>
      </c>
      <c r="G439" s="2" t="str">
        <f>HYPERLINK("https://www.craftsmanautomation.com/careers", "Apply / Careers ↗")</f>
        <v>Apply / Careers ↗</v>
      </c>
    </row>
    <row r="440" spans="1:7" ht="22.05" customHeight="1" x14ac:dyDescent="0.3">
      <c r="A440" s="7">
        <v>437</v>
      </c>
      <c r="B440" s="8" t="s">
        <v>959</v>
      </c>
      <c r="C440" s="9" t="s">
        <v>960</v>
      </c>
      <c r="D440" s="7" t="s">
        <v>706</v>
      </c>
      <c r="E440" s="10">
        <v>4.8</v>
      </c>
      <c r="F440" s="10">
        <v>7.2</v>
      </c>
      <c r="G440" s="3" t="str">
        <f>HYPERLINK("https://www.jaispring.com/careers.html", "Apply / Careers ↗")</f>
        <v>Apply / Careers ↗</v>
      </c>
    </row>
    <row r="441" spans="1:7" ht="22.05" customHeight="1" x14ac:dyDescent="0.3">
      <c r="A441" s="11">
        <v>438</v>
      </c>
      <c r="B441" s="12" t="s">
        <v>961</v>
      </c>
      <c r="C441" s="13" t="s">
        <v>962</v>
      </c>
      <c r="D441" s="11" t="s">
        <v>706</v>
      </c>
      <c r="E441" s="14">
        <v>4.8</v>
      </c>
      <c r="F441" s="14">
        <v>7.2</v>
      </c>
      <c r="G441" s="2" t="str">
        <f>HYPERLINK("https://www.subros.com/careers.html", "Apply / Careers ↗")</f>
        <v>Apply / Careers ↗</v>
      </c>
    </row>
    <row r="442" spans="1:7" ht="22.05" customHeight="1" x14ac:dyDescent="0.3">
      <c r="A442" s="7">
        <v>439</v>
      </c>
      <c r="B442" s="8" t="s">
        <v>963</v>
      </c>
      <c r="C442" s="9" t="s">
        <v>964</v>
      </c>
      <c r="D442" s="7" t="s">
        <v>706</v>
      </c>
      <c r="E442" s="10">
        <v>4.8</v>
      </c>
      <c r="F442" s="10">
        <v>7.2</v>
      </c>
      <c r="G442" s="3" t="str">
        <f>HYPERLINK("https://www.anandgroupindia.com/gabrielindia/careers/", "Apply / Careers ↗")</f>
        <v>Apply / Careers ↗</v>
      </c>
    </row>
    <row r="443" spans="1:7" ht="22.05" customHeight="1" x14ac:dyDescent="0.3">
      <c r="A443" s="11">
        <v>440</v>
      </c>
      <c r="B443" s="12" t="s">
        <v>965</v>
      </c>
      <c r="C443" s="13" t="s">
        <v>966</v>
      </c>
      <c r="D443" s="11" t="s">
        <v>706</v>
      </c>
      <c r="E443" s="14">
        <v>4.8</v>
      </c>
      <c r="F443" s="14">
        <v>7.2</v>
      </c>
      <c r="G443" s="2" t="str">
        <f>HYPERLINK("https://www.lumaxworld.in/lumaxindustries/careers.html", "Apply / Careers ↗")</f>
        <v>Apply / Careers ↗</v>
      </c>
    </row>
    <row r="444" spans="1:7" ht="22.05" customHeight="1" x14ac:dyDescent="0.3">
      <c r="A444" s="7">
        <v>441</v>
      </c>
      <c r="B444" s="8" t="s">
        <v>967</v>
      </c>
      <c r="C444" s="9" t="s">
        <v>968</v>
      </c>
      <c r="D444" s="7" t="s">
        <v>482</v>
      </c>
      <c r="E444" s="10">
        <v>5.2</v>
      </c>
      <c r="F444" s="10">
        <v>7.8</v>
      </c>
      <c r="G444" s="3" t="str">
        <f>HYPERLINK("https://www.voltas.com/careers", "Apply / Careers ↗")</f>
        <v>Apply / Careers ↗</v>
      </c>
    </row>
    <row r="445" spans="1:7" ht="22.05" customHeight="1" x14ac:dyDescent="0.3">
      <c r="A445" s="11">
        <v>442</v>
      </c>
      <c r="B445" s="12" t="s">
        <v>969</v>
      </c>
      <c r="C445" s="13" t="s">
        <v>970</v>
      </c>
      <c r="D445" s="11" t="s">
        <v>482</v>
      </c>
      <c r="E445" s="14">
        <v>5.2</v>
      </c>
      <c r="F445" s="14">
        <v>7.8</v>
      </c>
      <c r="G445" s="2" t="str">
        <f>HYPERLINK("https://www.bluestarindia.com/careers", "Apply / Careers ↗")</f>
        <v>Apply / Careers ↗</v>
      </c>
    </row>
    <row r="446" spans="1:7" ht="22.05" customHeight="1" x14ac:dyDescent="0.3">
      <c r="A446" s="7">
        <v>443</v>
      </c>
      <c r="B446" s="8" t="s">
        <v>971</v>
      </c>
      <c r="C446" s="9" t="s">
        <v>972</v>
      </c>
      <c r="D446" s="7" t="s">
        <v>387</v>
      </c>
      <c r="E446" s="10">
        <v>5.3</v>
      </c>
      <c r="F446" s="10">
        <v>8</v>
      </c>
      <c r="G446" s="3" t="str">
        <f>HYPERLINK("https://www.havells.com/en/careers.html", "Apply / Careers ↗")</f>
        <v>Apply / Careers ↗</v>
      </c>
    </row>
    <row r="447" spans="1:7" ht="22.05" customHeight="1" x14ac:dyDescent="0.3">
      <c r="A447" s="11">
        <v>444</v>
      </c>
      <c r="B447" s="12" t="s">
        <v>973</v>
      </c>
      <c r="C447" s="13" t="s">
        <v>974</v>
      </c>
      <c r="D447" s="11" t="s">
        <v>482</v>
      </c>
      <c r="E447" s="14">
        <v>5.2</v>
      </c>
      <c r="F447" s="14">
        <v>7.8</v>
      </c>
      <c r="G447" s="2" t="str">
        <f>HYPERLINK("https://polycab.com/careers/", "Apply / Careers ↗")</f>
        <v>Apply / Careers ↗</v>
      </c>
    </row>
    <row r="448" spans="1:7" ht="22.05" customHeight="1" x14ac:dyDescent="0.3">
      <c r="A448" s="7">
        <v>445</v>
      </c>
      <c r="B448" s="8" t="s">
        <v>975</v>
      </c>
      <c r="C448" s="9" t="s">
        <v>976</v>
      </c>
      <c r="D448" s="7" t="s">
        <v>446</v>
      </c>
      <c r="E448" s="10">
        <v>5</v>
      </c>
      <c r="F448" s="10">
        <v>7.6</v>
      </c>
      <c r="G448" s="3" t="str">
        <f>HYPERLINK("https://finolex.com/careers/", "Apply / Careers ↗")</f>
        <v>Apply / Careers ↗</v>
      </c>
    </row>
    <row r="449" spans="1:7" ht="22.05" customHeight="1" x14ac:dyDescent="0.3">
      <c r="A449" s="11">
        <v>446</v>
      </c>
      <c r="B449" s="12" t="s">
        <v>977</v>
      </c>
      <c r="C449" s="13" t="s">
        <v>978</v>
      </c>
      <c r="D449" s="11" t="s">
        <v>446</v>
      </c>
      <c r="E449" s="14">
        <v>5</v>
      </c>
      <c r="F449" s="14">
        <v>7.6</v>
      </c>
      <c r="G449" s="2" t="str">
        <f>HYPERLINK("https://www.rrkabel.com/career/", "Apply / Careers ↗")</f>
        <v>Apply / Careers ↗</v>
      </c>
    </row>
    <row r="450" spans="1:7" ht="22.05" customHeight="1" x14ac:dyDescent="0.3">
      <c r="A450" s="7">
        <v>447</v>
      </c>
      <c r="B450" s="8" t="s">
        <v>979</v>
      </c>
      <c r="C450" s="9" t="s">
        <v>980</v>
      </c>
      <c r="D450" s="7" t="s">
        <v>482</v>
      </c>
      <c r="E450" s="10">
        <v>5.2</v>
      </c>
      <c r="F450" s="10">
        <v>7.8</v>
      </c>
      <c r="G450" s="3" t="str">
        <f>HYPERLINK("https://www.crompton.co.in/careers/", "Apply / Careers ↗")</f>
        <v>Apply / Careers ↗</v>
      </c>
    </row>
    <row r="451" spans="1:7" ht="22.05" customHeight="1" x14ac:dyDescent="0.3">
      <c r="A451" s="11">
        <v>448</v>
      </c>
      <c r="B451" s="12" t="s">
        <v>981</v>
      </c>
      <c r="C451" s="13" t="s">
        <v>982</v>
      </c>
      <c r="D451" s="11" t="s">
        <v>446</v>
      </c>
      <c r="E451" s="14">
        <v>5</v>
      </c>
      <c r="F451" s="14">
        <v>7.6</v>
      </c>
      <c r="G451" s="2" t="str">
        <f>HYPERLINK("https://www.orientelectric.com/careers", "Apply / Careers ↗")</f>
        <v>Apply / Careers ↗</v>
      </c>
    </row>
    <row r="452" spans="1:7" ht="22.05" customHeight="1" x14ac:dyDescent="0.3">
      <c r="A452" s="7">
        <v>449</v>
      </c>
      <c r="B452" s="8" t="s">
        <v>983</v>
      </c>
      <c r="C452" s="9" t="s">
        <v>984</v>
      </c>
      <c r="D452" s="7" t="s">
        <v>446</v>
      </c>
      <c r="E452" s="10">
        <v>5</v>
      </c>
      <c r="F452" s="10">
        <v>7.6</v>
      </c>
      <c r="G452" s="3" t="str">
        <f>HYPERLINK("https://www.bajajelectricals.com/careers/", "Apply / Careers ↗")</f>
        <v>Apply / Careers ↗</v>
      </c>
    </row>
    <row r="453" spans="1:7" ht="22.05" customHeight="1" x14ac:dyDescent="0.3">
      <c r="A453" s="11">
        <v>450</v>
      </c>
      <c r="B453" s="12" t="s">
        <v>985</v>
      </c>
      <c r="C453" s="13" t="s">
        <v>986</v>
      </c>
      <c r="D453" s="11" t="s">
        <v>446</v>
      </c>
      <c r="E453" s="14">
        <v>5</v>
      </c>
      <c r="F453" s="14">
        <v>7.6</v>
      </c>
      <c r="G453" s="2" t="str">
        <f>HYPERLINK("https://www.vguard.in/careers", "Apply / Careers ↗")</f>
        <v>Apply / Careers ↗</v>
      </c>
    </row>
    <row r="454" spans="1:7" ht="22.05" customHeight="1" x14ac:dyDescent="0.3">
      <c r="A454" s="7">
        <v>451</v>
      </c>
      <c r="B454" s="8" t="s">
        <v>987</v>
      </c>
      <c r="C454" s="9" t="s">
        <v>988</v>
      </c>
      <c r="D454" s="7" t="s">
        <v>446</v>
      </c>
      <c r="E454" s="10">
        <v>5</v>
      </c>
      <c r="F454" s="10">
        <v>7.6</v>
      </c>
      <c r="G454" s="3" t="str">
        <f>HYPERLINK("https://symphonylimited.com/careers/", "Apply / Careers ↗")</f>
        <v>Apply / Careers ↗</v>
      </c>
    </row>
    <row r="455" spans="1:7" ht="22.05" customHeight="1" x14ac:dyDescent="0.3">
      <c r="A455" s="11">
        <v>452</v>
      </c>
      <c r="B455" s="12" t="s">
        <v>989</v>
      </c>
      <c r="C455" s="13" t="s">
        <v>990</v>
      </c>
      <c r="D455" s="11" t="s">
        <v>482</v>
      </c>
      <c r="E455" s="14">
        <v>5.2</v>
      </c>
      <c r="F455" s="14">
        <v>7.8</v>
      </c>
      <c r="G455" s="2" t="str">
        <f>HYPERLINK("https://www.whirlpoolindia.com/careers", "Apply / Careers ↗")</f>
        <v>Apply / Careers ↗</v>
      </c>
    </row>
    <row r="456" spans="1:7" ht="22.05" customHeight="1" x14ac:dyDescent="0.3">
      <c r="A456" s="7">
        <v>453</v>
      </c>
      <c r="B456" s="8" t="s">
        <v>991</v>
      </c>
      <c r="C456" s="9" t="s">
        <v>992</v>
      </c>
      <c r="D456" s="7" t="s">
        <v>482</v>
      </c>
      <c r="E456" s="10">
        <v>5.2</v>
      </c>
      <c r="F456" s="10">
        <v>7.8</v>
      </c>
      <c r="G456" s="3" t="str">
        <f>HYPERLINK("https://www.godrej.com/careers", "Apply / Careers ↗")</f>
        <v>Apply / Careers ↗</v>
      </c>
    </row>
    <row r="457" spans="1:7" ht="22.05" customHeight="1" x14ac:dyDescent="0.3">
      <c r="A457" s="11">
        <v>454</v>
      </c>
      <c r="B457" s="12" t="s">
        <v>993</v>
      </c>
      <c r="C457" s="13" t="s">
        <v>994</v>
      </c>
      <c r="D457" s="11" t="s">
        <v>446</v>
      </c>
      <c r="E457" s="14">
        <v>5</v>
      </c>
      <c r="F457" s="14">
        <v>7.6</v>
      </c>
      <c r="G457" s="2" t="str">
        <f>HYPERLINK("https://www.ifbappliances.com/careers", "Apply / Careers ↗")</f>
        <v>Apply / Careers ↗</v>
      </c>
    </row>
    <row r="458" spans="1:7" ht="22.05" customHeight="1" x14ac:dyDescent="0.3">
      <c r="A458" s="7">
        <v>455</v>
      </c>
      <c r="B458" s="8" t="s">
        <v>995</v>
      </c>
      <c r="C458" s="9" t="s">
        <v>996</v>
      </c>
      <c r="D458" s="7" t="s">
        <v>387</v>
      </c>
      <c r="E458" s="10">
        <v>5.3</v>
      </c>
      <c r="F458" s="10">
        <v>8</v>
      </c>
      <c r="G458" s="3" t="str">
        <f>HYPERLINK("https://www.daikinindia.com/careers", "Apply / Careers ↗")</f>
        <v>Apply / Careers ↗</v>
      </c>
    </row>
    <row r="459" spans="1:7" ht="22.05" customHeight="1" x14ac:dyDescent="0.3">
      <c r="A459" s="11">
        <v>456</v>
      </c>
      <c r="B459" s="12" t="s">
        <v>997</v>
      </c>
      <c r="C459" s="13" t="s">
        <v>998</v>
      </c>
      <c r="D459" s="11" t="s">
        <v>482</v>
      </c>
      <c r="E459" s="14">
        <v>5.2</v>
      </c>
      <c r="F459" s="14">
        <v>7.8</v>
      </c>
      <c r="G459" s="2" t="str">
        <f>HYPERLINK("https://www.carriermidea.com/careers.php", "Apply / Careers ↗")</f>
        <v>Apply / Careers ↗</v>
      </c>
    </row>
    <row r="460" spans="1:7" ht="22.05" customHeight="1" x14ac:dyDescent="0.3">
      <c r="A460" s="7">
        <v>457</v>
      </c>
      <c r="B460" s="8" t="s">
        <v>999</v>
      </c>
      <c r="C460" s="9" t="s">
        <v>1000</v>
      </c>
      <c r="D460" s="7" t="s">
        <v>387</v>
      </c>
      <c r="E460" s="10">
        <v>5.3</v>
      </c>
      <c r="F460" s="10">
        <v>8</v>
      </c>
      <c r="G460" s="3" t="str">
        <f>HYPERLINK("https://www.lg.com/in/about-lg/careers", "Apply / Careers ↗")</f>
        <v>Apply / Careers ↗</v>
      </c>
    </row>
    <row r="461" spans="1:7" ht="22.05" customHeight="1" x14ac:dyDescent="0.3">
      <c r="A461" s="11">
        <v>458</v>
      </c>
      <c r="B461" s="12" t="s">
        <v>1001</v>
      </c>
      <c r="C461" s="13" t="s">
        <v>1002</v>
      </c>
      <c r="D461" s="11" t="s">
        <v>353</v>
      </c>
      <c r="E461" s="14">
        <v>5.8</v>
      </c>
      <c r="F461" s="14">
        <v>8.6</v>
      </c>
      <c r="G461" s="2" t="str">
        <f>HYPERLINK("https://www.samsung.com/in/about-us/careers/", "Apply / Careers ↗")</f>
        <v>Apply / Careers ↗</v>
      </c>
    </row>
    <row r="462" spans="1:7" ht="22.05" customHeight="1" x14ac:dyDescent="0.3">
      <c r="A462" s="7">
        <v>459</v>
      </c>
      <c r="B462" s="8" t="s">
        <v>1003</v>
      </c>
      <c r="C462" s="9" t="s">
        <v>1004</v>
      </c>
      <c r="D462" s="7" t="s">
        <v>482</v>
      </c>
      <c r="E462" s="10">
        <v>5.2</v>
      </c>
      <c r="F462" s="10">
        <v>7.8</v>
      </c>
      <c r="G462" s="3" t="str">
        <f>HYPERLINK("https://www.panasonic.com/in/corporate/careers.html", "Apply / Careers ↗")</f>
        <v>Apply / Careers ↗</v>
      </c>
    </row>
    <row r="463" spans="1:7" ht="22.05" customHeight="1" x14ac:dyDescent="0.3">
      <c r="A463" s="11">
        <v>460</v>
      </c>
      <c r="B463" s="12" t="s">
        <v>1005</v>
      </c>
      <c r="C463" s="13" t="s">
        <v>1006</v>
      </c>
      <c r="D463" s="11" t="s">
        <v>387</v>
      </c>
      <c r="E463" s="14">
        <v>5.3</v>
      </c>
      <c r="F463" s="14">
        <v>8</v>
      </c>
      <c r="G463" s="2" t="str">
        <f>HYPERLINK("https://www.sony.co.in/careers", "Apply / Careers ↗")</f>
        <v>Apply / Careers ↗</v>
      </c>
    </row>
    <row r="464" spans="1:7" ht="22.05" customHeight="1" x14ac:dyDescent="0.3">
      <c r="A464" s="7">
        <v>461</v>
      </c>
      <c r="B464" s="8" t="s">
        <v>1007</v>
      </c>
      <c r="C464" s="9" t="s">
        <v>1008</v>
      </c>
      <c r="D464" s="7" t="s">
        <v>345</v>
      </c>
      <c r="E464" s="10">
        <v>6</v>
      </c>
      <c r="F464" s="10">
        <v>9</v>
      </c>
      <c r="G464" s="3" t="str">
        <f>HYPERLINK("https://www.asianpaints.com/careers.html", "Apply / Careers ↗")</f>
        <v>Apply / Careers ↗</v>
      </c>
    </row>
    <row r="465" spans="1:7" ht="22.05" customHeight="1" x14ac:dyDescent="0.3">
      <c r="A465" s="11">
        <v>462</v>
      </c>
      <c r="B465" s="12" t="s">
        <v>1009</v>
      </c>
      <c r="C465" s="13" t="s">
        <v>1010</v>
      </c>
      <c r="D465" s="11" t="s">
        <v>387</v>
      </c>
      <c r="E465" s="14">
        <v>5.3</v>
      </c>
      <c r="F465" s="14">
        <v>8</v>
      </c>
      <c r="G465" s="2" t="str">
        <f>HYPERLINK("https://www.bergerpaints.com/about-us/careers.html", "Apply / Careers ↗")</f>
        <v>Apply / Careers ↗</v>
      </c>
    </row>
    <row r="466" spans="1:7" ht="22.05" customHeight="1" x14ac:dyDescent="0.3">
      <c r="A466" s="7">
        <v>463</v>
      </c>
      <c r="B466" s="8" t="s">
        <v>1011</v>
      </c>
      <c r="C466" s="9" t="s">
        <v>1012</v>
      </c>
      <c r="D466" s="7" t="s">
        <v>482</v>
      </c>
      <c r="E466" s="10">
        <v>5.2</v>
      </c>
      <c r="F466" s="10">
        <v>7.8</v>
      </c>
      <c r="G466" s="3" t="str">
        <f>HYPERLINK("https://www.nerolac.com/careers", "Apply / Careers ↗")</f>
        <v>Apply / Careers ↗</v>
      </c>
    </row>
    <row r="467" spans="1:7" ht="22.05" customHeight="1" x14ac:dyDescent="0.3">
      <c r="A467" s="11">
        <v>464</v>
      </c>
      <c r="B467" s="12" t="s">
        <v>1013</v>
      </c>
      <c r="C467" s="13" t="s">
        <v>1014</v>
      </c>
      <c r="D467" s="11" t="s">
        <v>387</v>
      </c>
      <c r="E467" s="14">
        <v>5.3</v>
      </c>
      <c r="F467" s="14">
        <v>8</v>
      </c>
      <c r="G467" s="2" t="str">
        <f>HYPERLINK("https://www.akzonobel.com/en/careers", "Apply / Careers ↗")</f>
        <v>Apply / Careers ↗</v>
      </c>
    </row>
    <row r="468" spans="1:7" ht="22.05" customHeight="1" x14ac:dyDescent="0.3">
      <c r="A468" s="7">
        <v>465</v>
      </c>
      <c r="B468" s="8" t="s">
        <v>1015</v>
      </c>
      <c r="C468" s="9" t="s">
        <v>1016</v>
      </c>
      <c r="D468" s="7" t="s">
        <v>446</v>
      </c>
      <c r="E468" s="10">
        <v>5</v>
      </c>
      <c r="F468" s="10">
        <v>7.6</v>
      </c>
      <c r="G468" s="3" t="str">
        <f>HYPERLINK("https://indigopaints.com/careers/", "Apply / Careers ↗")</f>
        <v>Apply / Careers ↗</v>
      </c>
    </row>
    <row r="469" spans="1:7" ht="22.05" customHeight="1" x14ac:dyDescent="0.3">
      <c r="A469" s="11">
        <v>466</v>
      </c>
      <c r="B469" s="12" t="s">
        <v>1017</v>
      </c>
      <c r="C469" s="13" t="s">
        <v>1018</v>
      </c>
      <c r="D469" s="11" t="s">
        <v>345</v>
      </c>
      <c r="E469" s="14">
        <v>6</v>
      </c>
      <c r="F469" s="14">
        <v>9</v>
      </c>
      <c r="G469" s="2" t="str">
        <f>HYPERLINK("https://www.pidilite.com/careers/", "Apply / Careers ↗")</f>
        <v>Apply / Careers ↗</v>
      </c>
    </row>
    <row r="470" spans="1:7" ht="22.05" customHeight="1" x14ac:dyDescent="0.3">
      <c r="A470" s="7">
        <v>467</v>
      </c>
      <c r="B470" s="8" t="s">
        <v>1019</v>
      </c>
      <c r="C470" s="9" t="s">
        <v>1020</v>
      </c>
      <c r="D470" s="7" t="s">
        <v>482</v>
      </c>
      <c r="E470" s="10">
        <v>5.2</v>
      </c>
      <c r="F470" s="10">
        <v>7.8</v>
      </c>
      <c r="G470" s="3" t="str">
        <f>HYPERLINK("https://www.astralpipes.com/careers", "Apply / Careers ↗")</f>
        <v>Apply / Careers ↗</v>
      </c>
    </row>
    <row r="471" spans="1:7" ht="22.05" customHeight="1" x14ac:dyDescent="0.3">
      <c r="A471" s="11">
        <v>468</v>
      </c>
      <c r="B471" s="12" t="s">
        <v>1021</v>
      </c>
      <c r="C471" s="13" t="s">
        <v>1022</v>
      </c>
      <c r="D471" s="11" t="s">
        <v>446</v>
      </c>
      <c r="E471" s="14">
        <v>5</v>
      </c>
      <c r="F471" s="14">
        <v>7.6</v>
      </c>
      <c r="G471" s="2" t="str">
        <f>HYPERLINK("https://www.princepipes.com/careers", "Apply / Careers ↗")</f>
        <v>Apply / Careers ↗</v>
      </c>
    </row>
    <row r="472" spans="1:7" ht="22.05" customHeight="1" x14ac:dyDescent="0.3">
      <c r="A472" s="7">
        <v>469</v>
      </c>
      <c r="B472" s="8" t="s">
        <v>1023</v>
      </c>
      <c r="C472" s="9" t="s">
        <v>1024</v>
      </c>
      <c r="D472" s="7" t="s">
        <v>482</v>
      </c>
      <c r="E472" s="10">
        <v>5.2</v>
      </c>
      <c r="F472" s="10">
        <v>7.8</v>
      </c>
      <c r="G472" s="3" t="str">
        <f>HYPERLINK("https://www.kajariaceramics.com/career.php", "Apply / Careers ↗")</f>
        <v>Apply / Careers ↗</v>
      </c>
    </row>
    <row r="473" spans="1:7" ht="22.05" customHeight="1" x14ac:dyDescent="0.3">
      <c r="A473" s="11">
        <v>470</v>
      </c>
      <c r="B473" s="12" t="s">
        <v>1025</v>
      </c>
      <c r="C473" s="13" t="s">
        <v>1026</v>
      </c>
      <c r="D473" s="11" t="s">
        <v>446</v>
      </c>
      <c r="E473" s="14">
        <v>5</v>
      </c>
      <c r="F473" s="14">
        <v>7.6</v>
      </c>
      <c r="G473" s="2" t="str">
        <f>HYPERLINK("https://www.somanyceramics.com/careers", "Apply / Careers ↗")</f>
        <v>Apply / Careers ↗</v>
      </c>
    </row>
    <row r="474" spans="1:7" ht="22.05" customHeight="1" x14ac:dyDescent="0.3">
      <c r="A474" s="7">
        <v>471</v>
      </c>
      <c r="B474" s="8" t="s">
        <v>1027</v>
      </c>
      <c r="C474" s="9" t="s">
        <v>1028</v>
      </c>
      <c r="D474" s="7" t="s">
        <v>446</v>
      </c>
      <c r="E474" s="10">
        <v>5</v>
      </c>
      <c r="F474" s="10">
        <v>7.6</v>
      </c>
      <c r="G474" s="3" t="str">
        <f>HYPERLINK("https://www.cera-india.com/careers", "Apply / Careers ↗")</f>
        <v>Apply / Careers ↗</v>
      </c>
    </row>
    <row r="475" spans="1:7" ht="22.05" customHeight="1" x14ac:dyDescent="0.3">
      <c r="A475" s="11">
        <v>472</v>
      </c>
      <c r="B475" s="12" t="s">
        <v>1029</v>
      </c>
      <c r="C475" s="13" t="s">
        <v>1030</v>
      </c>
      <c r="D475" s="11" t="s">
        <v>446</v>
      </c>
      <c r="E475" s="14">
        <v>5</v>
      </c>
      <c r="F475" s="14">
        <v>7.6</v>
      </c>
      <c r="G475" s="2" t="str">
        <f>HYPERLINK("https://hindware.com/careers/", "Apply / Careers ↗")</f>
        <v>Apply / Careers ↗</v>
      </c>
    </row>
    <row r="476" spans="1:7" ht="22.05" customHeight="1" x14ac:dyDescent="0.3">
      <c r="A476" s="7">
        <v>473</v>
      </c>
      <c r="B476" s="8" t="s">
        <v>1031</v>
      </c>
      <c r="C476" s="9" t="s">
        <v>1032</v>
      </c>
      <c r="D476" s="7" t="s">
        <v>706</v>
      </c>
      <c r="E476" s="10">
        <v>4.8</v>
      </c>
      <c r="F476" s="10">
        <v>7.2</v>
      </c>
      <c r="G476" s="3" t="str">
        <f>HYPERLINK("https://www.greenply.com/careers", "Apply / Careers ↗")</f>
        <v>Apply / Careers ↗</v>
      </c>
    </row>
    <row r="477" spans="1:7" ht="22.05" customHeight="1" x14ac:dyDescent="0.3">
      <c r="A477" s="11">
        <v>474</v>
      </c>
      <c r="B477" s="12" t="s">
        <v>1033</v>
      </c>
      <c r="C477" s="13" t="s">
        <v>1034</v>
      </c>
      <c r="D477" s="11" t="s">
        <v>446</v>
      </c>
      <c r="E477" s="14">
        <v>5</v>
      </c>
      <c r="F477" s="14">
        <v>7.6</v>
      </c>
      <c r="G477" s="2" t="str">
        <f>HYPERLINK("https://www.centuryply.com/careers", "Apply / Careers ↗")</f>
        <v>Apply / Careers ↗</v>
      </c>
    </row>
    <row r="478" spans="1:7" ht="22.05" customHeight="1" x14ac:dyDescent="0.3">
      <c r="A478" s="7">
        <v>475</v>
      </c>
      <c r="B478" s="8" t="s">
        <v>1035</v>
      </c>
      <c r="C478" s="9" t="s">
        <v>1036</v>
      </c>
      <c r="D478" s="7" t="s">
        <v>706</v>
      </c>
      <c r="E478" s="10">
        <v>4.8</v>
      </c>
      <c r="F478" s="10">
        <v>7.2</v>
      </c>
      <c r="G478" s="3" t="str">
        <f>HYPERLINK("https://www.greenpanel.com/careers/", "Apply / Careers ↗")</f>
        <v>Apply / Careers ↗</v>
      </c>
    </row>
    <row r="479" spans="1:7" ht="22.05" customHeight="1" x14ac:dyDescent="0.3">
      <c r="A479" s="11">
        <v>476</v>
      </c>
      <c r="B479" s="12" t="s">
        <v>1037</v>
      </c>
      <c r="C479" s="13" t="s">
        <v>1038</v>
      </c>
      <c r="D479" s="11" t="s">
        <v>353</v>
      </c>
      <c r="E479" s="14">
        <v>5.8</v>
      </c>
      <c r="F479" s="14">
        <v>8.6</v>
      </c>
      <c r="G479" s="2" t="str">
        <f>HYPERLINK("https://www.tatasteel.com/careers/", "Apply / Careers ↗")</f>
        <v>Apply / Careers ↗</v>
      </c>
    </row>
    <row r="480" spans="1:7" ht="22.05" customHeight="1" x14ac:dyDescent="0.3">
      <c r="A480" s="7">
        <v>477</v>
      </c>
      <c r="B480" s="8" t="s">
        <v>1039</v>
      </c>
      <c r="C480" s="9" t="s">
        <v>1040</v>
      </c>
      <c r="D480" s="7" t="s">
        <v>384</v>
      </c>
      <c r="E480" s="10">
        <v>5.5</v>
      </c>
      <c r="F480" s="10">
        <v>8.1999999999999993</v>
      </c>
      <c r="G480" s="3" t="str">
        <f>HYPERLINK("https://www.jsw.in/careers", "Apply / Careers ↗")</f>
        <v>Apply / Careers ↗</v>
      </c>
    </row>
    <row r="481" spans="1:7" ht="22.05" customHeight="1" x14ac:dyDescent="0.3">
      <c r="A481" s="11">
        <v>478</v>
      </c>
      <c r="B481" s="12" t="s">
        <v>1041</v>
      </c>
      <c r="C481" s="13" t="s">
        <v>1042</v>
      </c>
      <c r="D481" s="11" t="s">
        <v>482</v>
      </c>
      <c r="E481" s="14">
        <v>5.2</v>
      </c>
      <c r="F481" s="14">
        <v>7.8</v>
      </c>
      <c r="G481" s="2" t="str">
        <f>HYPERLINK("https://sail.co.in/en/careers", "Apply / Careers ↗")</f>
        <v>Apply / Careers ↗</v>
      </c>
    </row>
    <row r="482" spans="1:7" ht="22.05" customHeight="1" x14ac:dyDescent="0.3">
      <c r="A482" s="7">
        <v>479</v>
      </c>
      <c r="B482" s="8" t="s">
        <v>1043</v>
      </c>
      <c r="C482" s="9" t="s">
        <v>1044</v>
      </c>
      <c r="D482" s="7" t="s">
        <v>387</v>
      </c>
      <c r="E482" s="10">
        <v>5.3</v>
      </c>
      <c r="F482" s="10">
        <v>8</v>
      </c>
      <c r="G482" s="3" t="str">
        <f>HYPERLINK("https://www.jindalsteelpower.com/careers.html", "Apply / Careers ↗")</f>
        <v>Apply / Careers ↗</v>
      </c>
    </row>
    <row r="483" spans="1:7" ht="22.05" customHeight="1" x14ac:dyDescent="0.3">
      <c r="A483" s="11">
        <v>480</v>
      </c>
      <c r="B483" s="12" t="s">
        <v>1045</v>
      </c>
      <c r="C483" s="13" t="s">
        <v>1046</v>
      </c>
      <c r="D483" s="11" t="s">
        <v>384</v>
      </c>
      <c r="E483" s="14">
        <v>5.5</v>
      </c>
      <c r="F483" s="14">
        <v>8.1999999999999993</v>
      </c>
      <c r="G483" s="2" t="str">
        <f>HYPERLINK("https://www.vedantaresources.com/careers", "Apply / Careers ↗")</f>
        <v>Apply / Careers ↗</v>
      </c>
    </row>
    <row r="484" spans="1:7" ht="22.05" customHeight="1" x14ac:dyDescent="0.3">
      <c r="A484" s="7">
        <v>481</v>
      </c>
      <c r="B484" s="8" t="s">
        <v>1047</v>
      </c>
      <c r="C484" s="9" t="s">
        <v>1048</v>
      </c>
      <c r="D484" s="7" t="s">
        <v>384</v>
      </c>
      <c r="E484" s="10">
        <v>5.5</v>
      </c>
      <c r="F484" s="10">
        <v>8.1999999999999993</v>
      </c>
      <c r="G484" s="3" t="str">
        <f>HYPERLINK("https://www.hzlindia.com/careers/", "Apply / Careers ↗")</f>
        <v>Apply / Careers ↗</v>
      </c>
    </row>
    <row r="485" spans="1:7" ht="22.05" customHeight="1" x14ac:dyDescent="0.3">
      <c r="A485" s="11">
        <v>482</v>
      </c>
      <c r="B485" s="12" t="s">
        <v>1049</v>
      </c>
      <c r="C485" s="13" t="s">
        <v>1050</v>
      </c>
      <c r="D485" s="11" t="s">
        <v>384</v>
      </c>
      <c r="E485" s="14">
        <v>5.5</v>
      </c>
      <c r="F485" s="14">
        <v>8.1999999999999993</v>
      </c>
      <c r="G485" s="2" t="str">
        <f>HYPERLINK("https://www.hindalco.com/careers", "Apply / Careers ↗")</f>
        <v>Apply / Careers ↗</v>
      </c>
    </row>
    <row r="486" spans="1:7" ht="22.05" customHeight="1" x14ac:dyDescent="0.3">
      <c r="A486" s="7">
        <v>483</v>
      </c>
      <c r="B486" s="8" t="s">
        <v>1051</v>
      </c>
      <c r="C486" s="9" t="s">
        <v>1052</v>
      </c>
      <c r="D486" s="7" t="s">
        <v>635</v>
      </c>
      <c r="E486" s="10">
        <v>5</v>
      </c>
      <c r="F486" s="10">
        <v>7.6</v>
      </c>
      <c r="G486" s="3" t="str">
        <f>HYPERLINK("https://nalcoindia.com/career/", "Apply / Careers ↗")</f>
        <v>Apply / Careers ↗</v>
      </c>
    </row>
    <row r="487" spans="1:7" ht="22.05" customHeight="1" x14ac:dyDescent="0.3">
      <c r="A487" s="11">
        <v>484</v>
      </c>
      <c r="B487" s="12" t="s">
        <v>1053</v>
      </c>
      <c r="C487" s="13" t="s">
        <v>1054</v>
      </c>
      <c r="D487" s="11" t="s">
        <v>482</v>
      </c>
      <c r="E487" s="14">
        <v>5.2</v>
      </c>
      <c r="F487" s="14">
        <v>7.8</v>
      </c>
      <c r="G487" s="2" t="str">
        <f>HYPERLINK("https://www.coalindia.in/career/", "Apply / Careers ↗")</f>
        <v>Apply / Careers ↗</v>
      </c>
    </row>
    <row r="488" spans="1:7" ht="22.05" customHeight="1" x14ac:dyDescent="0.3">
      <c r="A488" s="7">
        <v>485</v>
      </c>
      <c r="B488" s="8" t="s">
        <v>1055</v>
      </c>
      <c r="C488" s="9" t="s">
        <v>1056</v>
      </c>
      <c r="D488" s="7" t="s">
        <v>482</v>
      </c>
      <c r="E488" s="10">
        <v>5.2</v>
      </c>
      <c r="F488" s="10">
        <v>7.8</v>
      </c>
      <c r="G488" s="3" t="str">
        <f>HYPERLINK("https://www.nmdc.co.in/careers", "Apply / Careers ↗")</f>
        <v>Apply / Careers ↗</v>
      </c>
    </row>
    <row r="489" spans="1:7" ht="22.05" customHeight="1" x14ac:dyDescent="0.3">
      <c r="A489" s="11">
        <v>486</v>
      </c>
      <c r="B489" s="12" t="s">
        <v>1057</v>
      </c>
      <c r="C489" s="13" t="s">
        <v>1058</v>
      </c>
      <c r="D489" s="11" t="s">
        <v>384</v>
      </c>
      <c r="E489" s="14">
        <v>5.5</v>
      </c>
      <c r="F489" s="14">
        <v>8.1999999999999993</v>
      </c>
      <c r="G489" s="2" t="str">
        <f>HYPERLINK("https://www.ultratechcement.com/about-us/careers", "Apply / Careers ↗")</f>
        <v>Apply / Careers ↗</v>
      </c>
    </row>
    <row r="490" spans="1:7" ht="22.05" customHeight="1" x14ac:dyDescent="0.3">
      <c r="A490" s="7">
        <v>487</v>
      </c>
      <c r="B490" s="8" t="s">
        <v>1059</v>
      </c>
      <c r="C490" s="9" t="s">
        <v>1060</v>
      </c>
      <c r="D490" s="7" t="s">
        <v>387</v>
      </c>
      <c r="E490" s="10">
        <v>5.3</v>
      </c>
      <c r="F490" s="10">
        <v>8</v>
      </c>
      <c r="G490" s="3" t="str">
        <f>HYPERLINK("https://www.ambujacement.com/careers", "Apply / Careers ↗")</f>
        <v>Apply / Careers ↗</v>
      </c>
    </row>
    <row r="491" spans="1:7" ht="22.05" customHeight="1" x14ac:dyDescent="0.3">
      <c r="A491" s="11">
        <v>488</v>
      </c>
      <c r="B491" s="12" t="s">
        <v>1061</v>
      </c>
      <c r="C491" s="13" t="s">
        <v>1062</v>
      </c>
      <c r="D491" s="11" t="s">
        <v>482</v>
      </c>
      <c r="E491" s="14">
        <v>5.2</v>
      </c>
      <c r="F491" s="14">
        <v>7.8</v>
      </c>
      <c r="G491" s="2" t="str">
        <f>HYPERLINK("https://www.acclimited.com/about-us/careers", "Apply / Careers ↗")</f>
        <v>Apply / Careers ↗</v>
      </c>
    </row>
    <row r="492" spans="1:7" ht="22.05" customHeight="1" x14ac:dyDescent="0.3">
      <c r="A492" s="7">
        <v>489</v>
      </c>
      <c r="B492" s="8" t="s">
        <v>1063</v>
      </c>
      <c r="C492" s="9" t="s">
        <v>1064</v>
      </c>
      <c r="D492" s="7" t="s">
        <v>482</v>
      </c>
      <c r="E492" s="10">
        <v>5.2</v>
      </c>
      <c r="F492" s="10">
        <v>7.8</v>
      </c>
      <c r="G492" s="3" t="str">
        <f>HYPERLINK("https://www.shreecement.com/careers", "Apply / Careers ↗")</f>
        <v>Apply / Careers ↗</v>
      </c>
    </row>
    <row r="493" spans="1:7" ht="22.05" customHeight="1" x14ac:dyDescent="0.3">
      <c r="A493" s="11">
        <v>490</v>
      </c>
      <c r="B493" s="12" t="s">
        <v>1065</v>
      </c>
      <c r="C493" s="13" t="s">
        <v>1066</v>
      </c>
      <c r="D493" s="11" t="s">
        <v>482</v>
      </c>
      <c r="E493" s="14">
        <v>5.2</v>
      </c>
      <c r="F493" s="14">
        <v>7.8</v>
      </c>
      <c r="G493" s="2" t="str">
        <f>HYPERLINK("https://www.dalmiabharat.com/careers/", "Apply / Careers ↗")</f>
        <v>Apply / Careers ↗</v>
      </c>
    </row>
    <row r="494" spans="1:7" ht="22.05" customHeight="1" x14ac:dyDescent="0.3">
      <c r="A494" s="7">
        <v>491</v>
      </c>
      <c r="B494" s="8" t="s">
        <v>1067</v>
      </c>
      <c r="C494" s="9" t="s">
        <v>1068</v>
      </c>
      <c r="D494" s="7" t="s">
        <v>446</v>
      </c>
      <c r="E494" s="10">
        <v>5</v>
      </c>
      <c r="F494" s="10">
        <v>7.6</v>
      </c>
      <c r="G494" s="3" t="str">
        <f>HYPERLINK("https://www.birlacorporation.com/careers.html", "Apply / Careers ↗")</f>
        <v>Apply / Careers ↗</v>
      </c>
    </row>
    <row r="495" spans="1:7" ht="22.05" customHeight="1" x14ac:dyDescent="0.3">
      <c r="A495" s="11">
        <v>492</v>
      </c>
      <c r="B495" s="12" t="s">
        <v>1069</v>
      </c>
      <c r="C495" s="13" t="s">
        <v>1070</v>
      </c>
      <c r="D495" s="11" t="s">
        <v>446</v>
      </c>
      <c r="E495" s="14">
        <v>5</v>
      </c>
      <c r="F495" s="14">
        <v>7.6</v>
      </c>
      <c r="G495" s="2" t="str">
        <f>HYPERLINK("https://www.jkcement.com/careers", "Apply / Careers ↗")</f>
        <v>Apply / Careers ↗</v>
      </c>
    </row>
    <row r="496" spans="1:7" ht="22.05" customHeight="1" x14ac:dyDescent="0.3">
      <c r="A496" s="7">
        <v>493</v>
      </c>
      <c r="B496" s="8" t="s">
        <v>1071</v>
      </c>
      <c r="C496" s="9" t="s">
        <v>1072</v>
      </c>
      <c r="D496" s="7" t="s">
        <v>446</v>
      </c>
      <c r="E496" s="10">
        <v>5</v>
      </c>
      <c r="F496" s="10">
        <v>7.6</v>
      </c>
      <c r="G496" s="3" t="str">
        <f>HYPERLINK("https://www.theramcocements.com/careers", "Apply / Careers ↗")</f>
        <v>Apply / Careers ↗</v>
      </c>
    </row>
    <row r="497" spans="1:7" ht="22.05" customHeight="1" x14ac:dyDescent="0.3">
      <c r="A497" s="11">
        <v>494</v>
      </c>
      <c r="B497" s="12" t="s">
        <v>1073</v>
      </c>
      <c r="C497" s="13" t="s">
        <v>1074</v>
      </c>
      <c r="D497" s="11" t="s">
        <v>706</v>
      </c>
      <c r="E497" s="14">
        <v>4.8</v>
      </c>
      <c r="F497" s="14">
        <v>7.2</v>
      </c>
      <c r="G497" s="2" t="str">
        <f>HYPERLINK("https://www.indiacements.co.in/careers.php", "Apply / Careers ↗")</f>
        <v>Apply / Careers ↗</v>
      </c>
    </row>
    <row r="498" spans="1:7" ht="22.05" customHeight="1" x14ac:dyDescent="0.3">
      <c r="A498" s="7">
        <v>495</v>
      </c>
      <c r="B498" s="8" t="s">
        <v>1075</v>
      </c>
      <c r="C498" s="9" t="s">
        <v>1076</v>
      </c>
      <c r="D498" s="7" t="s">
        <v>706</v>
      </c>
      <c r="E498" s="10">
        <v>4.8</v>
      </c>
      <c r="F498" s="10">
        <v>7.2</v>
      </c>
      <c r="G498" s="3" t="str">
        <f>HYPERLINK("https://www.starcement.co.in/career/", "Apply / Careers ↗")</f>
        <v>Apply / Careers ↗</v>
      </c>
    </row>
    <row r="499" spans="1:7" ht="22.05" customHeight="1" x14ac:dyDescent="0.3">
      <c r="A499" s="11">
        <v>496</v>
      </c>
      <c r="B499" s="12" t="s">
        <v>1077</v>
      </c>
      <c r="C499" s="13" t="s">
        <v>1078</v>
      </c>
      <c r="D499" s="11" t="s">
        <v>340</v>
      </c>
      <c r="E499" s="14">
        <v>6.2</v>
      </c>
      <c r="F499" s="14">
        <v>9.1999999999999993</v>
      </c>
      <c r="G499" s="2" t="str">
        <f>HYPERLINK("https://careers.ril.com/", "Apply / Careers ↗")</f>
        <v>Apply / Careers ↗</v>
      </c>
    </row>
    <row r="500" spans="1:7" ht="22.05" customHeight="1" x14ac:dyDescent="0.3">
      <c r="A500" s="7">
        <v>497</v>
      </c>
      <c r="B500" s="8" t="s">
        <v>1079</v>
      </c>
      <c r="C500" s="9" t="s">
        <v>1080</v>
      </c>
      <c r="D500" s="7" t="s">
        <v>387</v>
      </c>
      <c r="E500" s="10">
        <v>5.3</v>
      </c>
      <c r="F500" s="10">
        <v>8</v>
      </c>
      <c r="G500" s="3" t="str">
        <f>HYPERLINK("https://iocl.com/careers", "Apply / Careers ↗")</f>
        <v>Apply / Careers ↗</v>
      </c>
    </row>
    <row r="501" spans="1:7" ht="22.05" customHeight="1" x14ac:dyDescent="0.3">
      <c r="A501" s="11">
        <v>498</v>
      </c>
      <c r="B501" s="12" t="s">
        <v>1081</v>
      </c>
      <c r="C501" s="13" t="s">
        <v>1082</v>
      </c>
      <c r="D501" s="11" t="s">
        <v>387</v>
      </c>
      <c r="E501" s="14">
        <v>5.3</v>
      </c>
      <c r="F501" s="14">
        <v>8</v>
      </c>
      <c r="G501" s="2" t="str">
        <f>HYPERLINK("https://www.bharatpetroleum.in/careers/careers.aspx", "Apply / Careers ↗")</f>
        <v>Apply / Careers ↗</v>
      </c>
    </row>
    <row r="502" spans="1:7" ht="22.05" customHeight="1" x14ac:dyDescent="0.3">
      <c r="A502" s="7">
        <v>499</v>
      </c>
      <c r="B502" s="8" t="s">
        <v>1083</v>
      </c>
      <c r="C502" s="9" t="s">
        <v>1084</v>
      </c>
      <c r="D502" s="7" t="s">
        <v>387</v>
      </c>
      <c r="E502" s="10">
        <v>5.3</v>
      </c>
      <c r="F502" s="10">
        <v>8</v>
      </c>
      <c r="G502" s="3" t="str">
        <f>HYPERLINK("https://www.hindustanpetroleum.com/careers", "Apply / Careers ↗")</f>
        <v>Apply / Careers ↗</v>
      </c>
    </row>
    <row r="503" spans="1:7" ht="22.05" customHeight="1" x14ac:dyDescent="0.3">
      <c r="A503" s="11">
        <v>500</v>
      </c>
      <c r="B503" s="12" t="s">
        <v>1085</v>
      </c>
      <c r="C503" s="13" t="s">
        <v>1086</v>
      </c>
      <c r="D503" s="11" t="s">
        <v>384</v>
      </c>
      <c r="E503" s="14">
        <v>5.5</v>
      </c>
      <c r="F503" s="14">
        <v>8.1999999999999993</v>
      </c>
      <c r="G503" s="2" t="str">
        <f>HYPERLINK("https://ongcindia.com/web/eng/career", "Apply / Careers ↗")</f>
        <v>Apply / Careers ↗</v>
      </c>
    </row>
    <row r="504" spans="1:7" ht="22.05" customHeight="1" x14ac:dyDescent="0.3">
      <c r="A504" s="7">
        <v>501</v>
      </c>
      <c r="B504" s="8" t="s">
        <v>1087</v>
      </c>
      <c r="C504" s="9" t="s">
        <v>1088</v>
      </c>
      <c r="D504" s="7" t="s">
        <v>482</v>
      </c>
      <c r="E504" s="10">
        <v>5.2</v>
      </c>
      <c r="F504" s="10">
        <v>7.8</v>
      </c>
      <c r="G504" s="3" t="str">
        <f>HYPERLINK("https://www.oil-india.com/Current-openings", "Apply / Careers ↗")</f>
        <v>Apply / Careers ↗</v>
      </c>
    </row>
    <row r="505" spans="1:7" ht="22.05" customHeight="1" x14ac:dyDescent="0.3">
      <c r="A505" s="11">
        <v>502</v>
      </c>
      <c r="B505" s="12" t="s">
        <v>1089</v>
      </c>
      <c r="C505" s="13" t="s">
        <v>1090</v>
      </c>
      <c r="D505" s="11" t="s">
        <v>387</v>
      </c>
      <c r="E505" s="14">
        <v>5.3</v>
      </c>
      <c r="F505" s="14">
        <v>8</v>
      </c>
      <c r="G505" s="2" t="str">
        <f>HYPERLINK("https://gailonline.com/CRApplyinggail.html", "Apply / Careers ↗")</f>
        <v>Apply / Careers ↗</v>
      </c>
    </row>
    <row r="506" spans="1:7" ht="22.05" customHeight="1" x14ac:dyDescent="0.3">
      <c r="A506" s="7">
        <v>503</v>
      </c>
      <c r="B506" s="8" t="s">
        <v>1091</v>
      </c>
      <c r="C506" s="9" t="s">
        <v>1092</v>
      </c>
      <c r="D506" s="7" t="s">
        <v>387</v>
      </c>
      <c r="E506" s="10">
        <v>5.3</v>
      </c>
      <c r="F506" s="10">
        <v>8</v>
      </c>
      <c r="G506" s="3" t="str">
        <f>HYPERLINK("https://www.petronetlng.in/careers.php", "Apply / Careers ↗")</f>
        <v>Apply / Careers ↗</v>
      </c>
    </row>
    <row r="507" spans="1:7" ht="22.05" customHeight="1" x14ac:dyDescent="0.3">
      <c r="A507" s="11">
        <v>504</v>
      </c>
      <c r="B507" s="12" t="s">
        <v>1093</v>
      </c>
      <c r="C507" s="13" t="s">
        <v>1094</v>
      </c>
      <c r="D507" s="11" t="s">
        <v>482</v>
      </c>
      <c r="E507" s="14">
        <v>5.2</v>
      </c>
      <c r="F507" s="14">
        <v>7.8</v>
      </c>
      <c r="G507" s="2" t="str">
        <f>HYPERLINK("https://www.iglonline.net/careers.html", "Apply / Careers ↗")</f>
        <v>Apply / Careers ↗</v>
      </c>
    </row>
    <row r="508" spans="1:7" ht="22.05" customHeight="1" x14ac:dyDescent="0.3">
      <c r="A508" s="7">
        <v>505</v>
      </c>
      <c r="B508" s="8" t="s">
        <v>1095</v>
      </c>
      <c r="C508" s="9" t="s">
        <v>1096</v>
      </c>
      <c r="D508" s="7" t="s">
        <v>482</v>
      </c>
      <c r="E508" s="10">
        <v>5.2</v>
      </c>
      <c r="F508" s="10">
        <v>7.8</v>
      </c>
      <c r="G508" s="3" t="str">
        <f>HYPERLINK("https://www.mahanagargas.com/Careers.aspx", "Apply / Careers ↗")</f>
        <v>Apply / Careers ↗</v>
      </c>
    </row>
    <row r="509" spans="1:7" ht="22.05" customHeight="1" x14ac:dyDescent="0.3">
      <c r="A509" s="11">
        <v>506</v>
      </c>
      <c r="B509" s="12" t="s">
        <v>1097</v>
      </c>
      <c r="C509" s="13" t="s">
        <v>1098</v>
      </c>
      <c r="D509" s="11" t="s">
        <v>482</v>
      </c>
      <c r="E509" s="14">
        <v>5.2</v>
      </c>
      <c r="F509" s="14">
        <v>7.8</v>
      </c>
      <c r="G509" s="2" t="str">
        <f>HYPERLINK("https://www.gujaratgas.com/careers/", "Apply / Careers ↗")</f>
        <v>Apply / Careers ↗</v>
      </c>
    </row>
    <row r="510" spans="1:7" ht="22.05" customHeight="1" x14ac:dyDescent="0.3">
      <c r="A510" s="7">
        <v>507</v>
      </c>
      <c r="B510" s="8" t="s">
        <v>1099</v>
      </c>
      <c r="C510" s="9" t="s">
        <v>1100</v>
      </c>
      <c r="D510" s="7" t="s">
        <v>387</v>
      </c>
      <c r="E510" s="10">
        <v>5.3</v>
      </c>
      <c r="F510" s="10">
        <v>8</v>
      </c>
      <c r="G510" s="3" t="str">
        <f>HYPERLINK("https://www.adanigas.com/careers", "Apply / Careers ↗")</f>
        <v>Apply / Careers ↗</v>
      </c>
    </row>
    <row r="511" spans="1:7" ht="22.05" customHeight="1" x14ac:dyDescent="0.3">
      <c r="A511" s="11">
        <v>508</v>
      </c>
      <c r="B511" s="12" t="s">
        <v>1101</v>
      </c>
      <c r="C511" s="13" t="s">
        <v>1102</v>
      </c>
      <c r="D511" s="11" t="s">
        <v>384</v>
      </c>
      <c r="E511" s="14">
        <v>5.5</v>
      </c>
      <c r="F511" s="14">
        <v>8.1999999999999993</v>
      </c>
      <c r="G511" s="2" t="str">
        <f>HYPERLINK("https://www.tatapower.com/careers/", "Apply / Careers ↗")</f>
        <v>Apply / Careers ↗</v>
      </c>
    </row>
    <row r="512" spans="1:7" ht="22.05" customHeight="1" x14ac:dyDescent="0.3">
      <c r="A512" s="7">
        <v>509</v>
      </c>
      <c r="B512" s="8" t="s">
        <v>1103</v>
      </c>
      <c r="C512" s="9" t="s">
        <v>1104</v>
      </c>
      <c r="D512" s="7" t="s">
        <v>387</v>
      </c>
      <c r="E512" s="10">
        <v>5.3</v>
      </c>
      <c r="F512" s="10">
        <v>8</v>
      </c>
      <c r="G512" s="3" t="str">
        <f>HYPERLINK("https://careers.ntpc.co.in/", "Apply / Careers ↗")</f>
        <v>Apply / Careers ↗</v>
      </c>
    </row>
    <row r="513" spans="1:7" ht="22.05" customHeight="1" x14ac:dyDescent="0.3">
      <c r="A513" s="11">
        <v>510</v>
      </c>
      <c r="B513" s="12" t="s">
        <v>1105</v>
      </c>
      <c r="C513" s="13" t="s">
        <v>1106</v>
      </c>
      <c r="D513" s="11" t="s">
        <v>387</v>
      </c>
      <c r="E513" s="14">
        <v>5.3</v>
      </c>
      <c r="F513" s="14">
        <v>8</v>
      </c>
      <c r="G513" s="2" t="str">
        <f>HYPERLINK("https://www.powergrid.in/careers", "Apply / Careers ↗")</f>
        <v>Apply / Careers ↗</v>
      </c>
    </row>
    <row r="514" spans="1:7" ht="22.05" customHeight="1" x14ac:dyDescent="0.3">
      <c r="A514" s="7">
        <v>511</v>
      </c>
      <c r="B514" s="8" t="s">
        <v>1107</v>
      </c>
      <c r="C514" s="9" t="s">
        <v>1108</v>
      </c>
      <c r="D514" s="7" t="s">
        <v>384</v>
      </c>
      <c r="E514" s="10">
        <v>5.5</v>
      </c>
      <c r="F514" s="10">
        <v>8.1999999999999993</v>
      </c>
      <c r="G514" s="3" t="str">
        <f>HYPERLINK("https://www.adanigreenenergy.com/careers", "Apply / Careers ↗")</f>
        <v>Apply / Careers ↗</v>
      </c>
    </row>
    <row r="515" spans="1:7" ht="22.05" customHeight="1" x14ac:dyDescent="0.3">
      <c r="A515" s="11">
        <v>512</v>
      </c>
      <c r="B515" s="12" t="s">
        <v>1109</v>
      </c>
      <c r="C515" s="13" t="s">
        <v>1110</v>
      </c>
      <c r="D515" s="11" t="s">
        <v>353</v>
      </c>
      <c r="E515" s="14">
        <v>5.8</v>
      </c>
      <c r="F515" s="14">
        <v>8.6</v>
      </c>
      <c r="G515" s="2" t="str">
        <f>HYPERLINK("https://renew.com/careers", "Apply / Careers ↗")</f>
        <v>Apply / Careers ↗</v>
      </c>
    </row>
    <row r="516" spans="1:7" ht="22.05" customHeight="1" x14ac:dyDescent="0.3">
      <c r="A516" s="7">
        <v>513</v>
      </c>
      <c r="B516" s="8" t="s">
        <v>1111</v>
      </c>
      <c r="C516" s="9" t="s">
        <v>1112</v>
      </c>
      <c r="D516" s="7" t="s">
        <v>387</v>
      </c>
      <c r="E516" s="10">
        <v>5.3</v>
      </c>
      <c r="F516" s="10">
        <v>8</v>
      </c>
      <c r="G516" s="3" t="str">
        <f>HYPERLINK("https://avaada.com/careers/", "Apply / Careers ↗")</f>
        <v>Apply / Careers ↗</v>
      </c>
    </row>
    <row r="517" spans="1:7" ht="22.05" customHeight="1" x14ac:dyDescent="0.3">
      <c r="A517" s="11">
        <v>514</v>
      </c>
      <c r="B517" s="12" t="s">
        <v>1113</v>
      </c>
      <c r="C517" s="13" t="s">
        <v>1114</v>
      </c>
      <c r="D517" s="11" t="s">
        <v>482</v>
      </c>
      <c r="E517" s="14">
        <v>5.2</v>
      </c>
      <c r="F517" s="14">
        <v>7.8</v>
      </c>
      <c r="G517" s="2" t="str">
        <f>HYPERLINK("https://www.suzlon.com/careers", "Apply / Careers ↗")</f>
        <v>Apply / Careers ↗</v>
      </c>
    </row>
    <row r="518" spans="1:7" ht="22.05" customHeight="1" x14ac:dyDescent="0.3">
      <c r="A518" s="7">
        <v>515</v>
      </c>
      <c r="B518" s="8" t="s">
        <v>1115</v>
      </c>
      <c r="C518" s="9" t="s">
        <v>1116</v>
      </c>
      <c r="D518" s="7" t="s">
        <v>446</v>
      </c>
      <c r="E518" s="10">
        <v>5</v>
      </c>
      <c r="F518" s="10">
        <v>7.6</v>
      </c>
      <c r="G518" s="3" t="str">
        <f>HYPERLINK("https://www.inoxwind.com/careers", "Apply / Careers ↗")</f>
        <v>Apply / Careers ↗</v>
      </c>
    </row>
    <row r="519" spans="1:7" ht="22.05" customHeight="1" x14ac:dyDescent="0.3">
      <c r="A519" s="11">
        <v>516</v>
      </c>
      <c r="B519" s="12" t="s">
        <v>1117</v>
      </c>
      <c r="C519" s="13" t="s">
        <v>1118</v>
      </c>
      <c r="D519" s="11" t="s">
        <v>482</v>
      </c>
      <c r="E519" s="14">
        <v>5.2</v>
      </c>
      <c r="F519" s="14">
        <v>7.8</v>
      </c>
      <c r="G519" s="2" t="str">
        <f>HYPERLINK("https://www.jsw.in/energy/careers", "Apply / Careers ↗")</f>
        <v>Apply / Careers ↗</v>
      </c>
    </row>
    <row r="520" spans="1:7" ht="22.05" customHeight="1" x14ac:dyDescent="0.3">
      <c r="A520" s="7">
        <v>517</v>
      </c>
      <c r="B520" s="8" t="s">
        <v>1119</v>
      </c>
      <c r="C520" s="9" t="s">
        <v>1120</v>
      </c>
      <c r="D520" s="7" t="s">
        <v>482</v>
      </c>
      <c r="E520" s="10">
        <v>5.2</v>
      </c>
      <c r="F520" s="10">
        <v>7.8</v>
      </c>
      <c r="G520" s="3" t="str">
        <f>HYPERLINK("https://www.torrentpower.com/careers", "Apply / Careers ↗")</f>
        <v>Apply / Careers ↗</v>
      </c>
    </row>
    <row r="521" spans="1:7" ht="22.05" customHeight="1" x14ac:dyDescent="0.3">
      <c r="A521" s="11">
        <v>518</v>
      </c>
      <c r="B521" s="12" t="s">
        <v>1121</v>
      </c>
      <c r="C521" s="13" t="s">
        <v>1122</v>
      </c>
      <c r="D521" s="11" t="s">
        <v>446</v>
      </c>
      <c r="E521" s="14">
        <v>5</v>
      </c>
      <c r="F521" s="14">
        <v>7.6</v>
      </c>
      <c r="G521" s="2" t="str">
        <f>HYPERLINK("https://www.cesc.co.in/careers", "Apply / Careers ↗")</f>
        <v>Apply / Careers ↗</v>
      </c>
    </row>
    <row r="522" spans="1:7" ht="22.05" customHeight="1" x14ac:dyDescent="0.3">
      <c r="A522" s="7">
        <v>519</v>
      </c>
      <c r="B522" s="8" t="s">
        <v>1123</v>
      </c>
      <c r="C522" s="9" t="s">
        <v>1124</v>
      </c>
      <c r="D522" s="7" t="s">
        <v>446</v>
      </c>
      <c r="E522" s="10">
        <v>5</v>
      </c>
      <c r="F522" s="10">
        <v>7.6</v>
      </c>
      <c r="G522" s="3" t="str">
        <f>HYPERLINK("https://www.nhpcindia.com/welcome/career", "Apply / Careers ↗")</f>
        <v>Apply / Careers ↗</v>
      </c>
    </row>
    <row r="523" spans="1:7" ht="22.05" customHeight="1" x14ac:dyDescent="0.3">
      <c r="A523" s="11">
        <v>520</v>
      </c>
      <c r="B523" s="12" t="s">
        <v>1125</v>
      </c>
      <c r="C523" s="13" t="s">
        <v>1126</v>
      </c>
      <c r="D523" s="11" t="s">
        <v>446</v>
      </c>
      <c r="E523" s="14">
        <v>5</v>
      </c>
      <c r="F523" s="14">
        <v>7.6</v>
      </c>
      <c r="G523" s="2" t="str">
        <f>HYPERLINK("https://sjvn.nic.in/career.htm", "Apply / Careers ↗")</f>
        <v>Apply / Careers ↗</v>
      </c>
    </row>
    <row r="524" spans="1:7" ht="22.05" customHeight="1" x14ac:dyDescent="0.3">
      <c r="A524" s="7">
        <v>521</v>
      </c>
      <c r="B524" s="8" t="s">
        <v>1127</v>
      </c>
      <c r="C524" s="9" t="s">
        <v>1128</v>
      </c>
      <c r="D524" s="7" t="s">
        <v>340</v>
      </c>
      <c r="E524" s="10">
        <v>6.2</v>
      </c>
      <c r="F524" s="10">
        <v>9.1999999999999993</v>
      </c>
      <c r="G524" s="3" t="str">
        <f>HYPERLINK("https://careers.jio.com/", "Apply / Careers ↗")</f>
        <v>Apply / Careers ↗</v>
      </c>
    </row>
    <row r="525" spans="1:7" ht="22.05" customHeight="1" x14ac:dyDescent="0.3">
      <c r="A525" s="11">
        <v>522</v>
      </c>
      <c r="B525" s="12" t="s">
        <v>1129</v>
      </c>
      <c r="C525" s="13" t="s">
        <v>1130</v>
      </c>
      <c r="D525" s="11" t="s">
        <v>340</v>
      </c>
      <c r="E525" s="14">
        <v>6.2</v>
      </c>
      <c r="F525" s="14">
        <v>9.1999999999999993</v>
      </c>
      <c r="G525" s="2" t="str">
        <f>HYPERLINK("https://www.airtel.in/careers/", "Apply / Careers ↗")</f>
        <v>Apply / Careers ↗</v>
      </c>
    </row>
    <row r="526" spans="1:7" ht="22.05" customHeight="1" x14ac:dyDescent="0.3">
      <c r="A526" s="7">
        <v>523</v>
      </c>
      <c r="B526" s="8" t="s">
        <v>1131</v>
      </c>
      <c r="C526" s="9" t="s">
        <v>1132</v>
      </c>
      <c r="D526" s="7" t="s">
        <v>384</v>
      </c>
      <c r="E526" s="10">
        <v>5.5</v>
      </c>
      <c r="F526" s="10">
        <v>8.1999999999999993</v>
      </c>
      <c r="G526" s="3" t="str">
        <f>HYPERLINK("https://www.myvi.in/careers", "Apply / Careers ↗")</f>
        <v>Apply / Careers ↗</v>
      </c>
    </row>
    <row r="527" spans="1:7" ht="22.05" customHeight="1" x14ac:dyDescent="0.3">
      <c r="A527" s="11">
        <v>524</v>
      </c>
      <c r="B527" s="12" t="s">
        <v>1133</v>
      </c>
      <c r="C527" s="13" t="s">
        <v>1134</v>
      </c>
      <c r="D527" s="11" t="s">
        <v>482</v>
      </c>
      <c r="E527" s="14">
        <v>5.2</v>
      </c>
      <c r="F527" s="14">
        <v>7.8</v>
      </c>
      <c r="G527" s="2" t="str">
        <f>HYPERLINK("https://www.industowers.com/careers/", "Apply / Careers ↗")</f>
        <v>Apply / Careers ↗</v>
      </c>
    </row>
    <row r="528" spans="1:7" ht="22.05" customHeight="1" x14ac:dyDescent="0.3">
      <c r="A528" s="7">
        <v>525</v>
      </c>
      <c r="B528" s="8" t="s">
        <v>1135</v>
      </c>
      <c r="C528" s="9" t="s">
        <v>1136</v>
      </c>
      <c r="D528" s="7" t="s">
        <v>345</v>
      </c>
      <c r="E528" s="10">
        <v>6</v>
      </c>
      <c r="F528" s="10">
        <v>9</v>
      </c>
      <c r="G528" s="3" t="str">
        <f>HYPERLINK("https://www.tatacommunications.com/careers/", "Apply / Careers ↗")</f>
        <v>Apply / Careers ↗</v>
      </c>
    </row>
    <row r="529" spans="1:7" ht="22.05" customHeight="1" x14ac:dyDescent="0.3">
      <c r="A529" s="11">
        <v>526</v>
      </c>
      <c r="B529" s="12" t="s">
        <v>1137</v>
      </c>
      <c r="C529" s="13" t="s">
        <v>1138</v>
      </c>
      <c r="D529" s="11" t="s">
        <v>482</v>
      </c>
      <c r="E529" s="14">
        <v>5.2</v>
      </c>
      <c r="F529" s="14">
        <v>7.8</v>
      </c>
      <c r="G529" s="2" t="str">
        <f>HYPERLINK("https://www.tatateleservices.com/careers", "Apply / Careers ↗")</f>
        <v>Apply / Careers ↗</v>
      </c>
    </row>
    <row r="530" spans="1:7" ht="22.05" customHeight="1" x14ac:dyDescent="0.3">
      <c r="A530" s="7">
        <v>527</v>
      </c>
      <c r="B530" s="8" t="s">
        <v>1139</v>
      </c>
      <c r="C530" s="9" t="s">
        <v>1140</v>
      </c>
      <c r="D530" s="7" t="s">
        <v>387</v>
      </c>
      <c r="E530" s="10">
        <v>5.3</v>
      </c>
      <c r="F530" s="10">
        <v>8</v>
      </c>
      <c r="G530" s="3" t="str">
        <f>HYPERLINK("https://www.actcorp.in/careers", "Apply / Careers ↗")</f>
        <v>Apply / Careers ↗</v>
      </c>
    </row>
    <row r="531" spans="1:7" ht="22.05" customHeight="1" x14ac:dyDescent="0.3">
      <c r="A531" s="11">
        <v>528</v>
      </c>
      <c r="B531" s="12" t="s">
        <v>1141</v>
      </c>
      <c r="C531" s="13" t="s">
        <v>1142</v>
      </c>
      <c r="D531" s="11" t="s">
        <v>706</v>
      </c>
      <c r="E531" s="14">
        <v>4.8</v>
      </c>
      <c r="F531" s="14">
        <v>7.2</v>
      </c>
      <c r="G531" s="2" t="str">
        <f>HYPERLINK("https://www.hathway.com/careers", "Apply / Careers ↗")</f>
        <v>Apply / Careers ↗</v>
      </c>
    </row>
    <row r="532" spans="1:7" ht="22.05" customHeight="1" x14ac:dyDescent="0.3">
      <c r="A532" s="7">
        <v>529</v>
      </c>
      <c r="B532" s="8" t="s">
        <v>1143</v>
      </c>
      <c r="C532" s="9" t="s">
        <v>1144</v>
      </c>
      <c r="D532" s="7" t="s">
        <v>706</v>
      </c>
      <c r="E532" s="10">
        <v>4.8</v>
      </c>
      <c r="F532" s="10">
        <v>7.2</v>
      </c>
      <c r="G532" s="3" t="str">
        <f>HYPERLINK("https://www.dennetworks.com/careers/", "Apply / Careers ↗")</f>
        <v>Apply / Careers ↗</v>
      </c>
    </row>
    <row r="533" spans="1:7" ht="22.05" customHeight="1" x14ac:dyDescent="0.3">
      <c r="A533" s="11">
        <v>530</v>
      </c>
      <c r="B533" s="12" t="s">
        <v>1145</v>
      </c>
      <c r="C533" s="13" t="s">
        <v>1146</v>
      </c>
      <c r="D533" s="11" t="s">
        <v>446</v>
      </c>
      <c r="E533" s="14">
        <v>5</v>
      </c>
      <c r="F533" s="14">
        <v>7.6</v>
      </c>
      <c r="G533" s="2" t="str">
        <f>HYPERLINK("https://www.railtel.com/careers.html", "Apply / Careers ↗")</f>
        <v>Apply / Careers ↗</v>
      </c>
    </row>
    <row r="534" spans="1:7" ht="22.05" customHeight="1" x14ac:dyDescent="0.3">
      <c r="A534" s="7">
        <v>531</v>
      </c>
      <c r="B534" s="8" t="s">
        <v>1147</v>
      </c>
      <c r="C534" s="9" t="s">
        <v>1148</v>
      </c>
      <c r="D534" s="7" t="s">
        <v>353</v>
      </c>
      <c r="E534" s="10">
        <v>5.8</v>
      </c>
      <c r="F534" s="10">
        <v>8.6</v>
      </c>
      <c r="G534" s="3" t="str">
        <f>HYPERLINK("https://www.tejasnetworks.com/careers", "Apply / Careers ↗")</f>
        <v>Apply / Careers ↗</v>
      </c>
    </row>
    <row r="535" spans="1:7" ht="22.05" customHeight="1" x14ac:dyDescent="0.3">
      <c r="A535" s="11">
        <v>532</v>
      </c>
      <c r="B535" s="12" t="s">
        <v>1149</v>
      </c>
      <c r="C535" s="13" t="s">
        <v>1150</v>
      </c>
      <c r="D535" s="11" t="s">
        <v>446</v>
      </c>
      <c r="E535" s="14">
        <v>5</v>
      </c>
      <c r="F535" s="14">
        <v>7.6</v>
      </c>
      <c r="G535" s="2" t="str">
        <f>HYPERLINK("https://www.hfcl.com/careers", "Apply / Careers ↗")</f>
        <v>Apply / Careers ↗</v>
      </c>
    </row>
    <row r="536" spans="1:7" ht="22.05" customHeight="1" x14ac:dyDescent="0.3">
      <c r="A536" s="7">
        <v>533</v>
      </c>
      <c r="B536" s="8" t="s">
        <v>1151</v>
      </c>
      <c r="C536" s="9" t="s">
        <v>1152</v>
      </c>
      <c r="D536" s="7" t="s">
        <v>482</v>
      </c>
      <c r="E536" s="10">
        <v>5.2</v>
      </c>
      <c r="F536" s="10">
        <v>7.8</v>
      </c>
      <c r="G536" s="3" t="str">
        <f>HYPERLINK("https://www.stl.tech/careers/", "Apply / Careers ↗")</f>
        <v>Apply / Careers ↗</v>
      </c>
    </row>
    <row r="537" spans="1:7" ht="22.05" customHeight="1" x14ac:dyDescent="0.3">
      <c r="A537" s="11">
        <v>534</v>
      </c>
      <c r="B537" s="12" t="s">
        <v>1153</v>
      </c>
      <c r="C537" s="13" t="s">
        <v>1154</v>
      </c>
      <c r="D537" s="11" t="s">
        <v>384</v>
      </c>
      <c r="E537" s="14">
        <v>5.5</v>
      </c>
      <c r="F537" s="14">
        <v>8.1999999999999993</v>
      </c>
      <c r="G537" s="2" t="str">
        <f>HYPERLINK("https://www.ctrls.com/careers/", "Apply / Careers ↗")</f>
        <v>Apply / Careers ↗</v>
      </c>
    </row>
    <row r="538" spans="1:7" ht="22.05" customHeight="1" x14ac:dyDescent="0.3">
      <c r="A538" s="7">
        <v>535</v>
      </c>
      <c r="B538" s="8" t="s">
        <v>1155</v>
      </c>
      <c r="C538" s="9" t="s">
        <v>1156</v>
      </c>
      <c r="D538" s="7" t="s">
        <v>353</v>
      </c>
      <c r="E538" s="10">
        <v>5.8</v>
      </c>
      <c r="F538" s="10">
        <v>8.6</v>
      </c>
      <c r="G538" s="3" t="str">
        <f>HYPERLINK("https://yotta.com/careers/", "Apply / Careers ↗")</f>
        <v>Apply / Careers ↗</v>
      </c>
    </row>
    <row r="539" spans="1:7" ht="22.05" customHeight="1" x14ac:dyDescent="0.3">
      <c r="A539" s="11">
        <v>536</v>
      </c>
      <c r="B539" s="12" t="s">
        <v>1157</v>
      </c>
      <c r="C539" s="13" t="s">
        <v>1158</v>
      </c>
      <c r="D539" s="11" t="s">
        <v>482</v>
      </c>
      <c r="E539" s="14">
        <v>5.2</v>
      </c>
      <c r="F539" s="14">
        <v>7.8</v>
      </c>
      <c r="G539" s="2" t="str">
        <f>HYPERLINK("https://www.sifytechnologies.com/careers/", "Apply / Careers ↗")</f>
        <v>Apply / Careers ↗</v>
      </c>
    </row>
    <row r="540" spans="1:7" ht="22.05" customHeight="1" x14ac:dyDescent="0.3">
      <c r="A540" s="7">
        <v>537</v>
      </c>
      <c r="B540" s="8" t="s">
        <v>1159</v>
      </c>
      <c r="C540" s="9" t="s">
        <v>1160</v>
      </c>
      <c r="D540" s="7" t="s">
        <v>384</v>
      </c>
      <c r="E540" s="10">
        <v>5.5</v>
      </c>
      <c r="F540" s="10">
        <v>8.1999999999999993</v>
      </c>
      <c r="G540" s="3" t="str">
        <f>HYPERLINK("https://services.global.ntt/en-us/careers", "Apply / Careers ↗")</f>
        <v>Apply / Careers ↗</v>
      </c>
    </row>
    <row r="541" spans="1:7" ht="22.05" customHeight="1" x14ac:dyDescent="0.3">
      <c r="A541" s="11">
        <v>538</v>
      </c>
      <c r="B541" s="12" t="s">
        <v>1161</v>
      </c>
      <c r="C541" s="13" t="s">
        <v>1162</v>
      </c>
      <c r="D541" s="11" t="s">
        <v>482</v>
      </c>
      <c r="E541" s="14">
        <v>5.2</v>
      </c>
      <c r="F541" s="14">
        <v>7.8</v>
      </c>
      <c r="G541" s="2" t="str">
        <f>HYPERLINK("https://www.webwerks.in/careers", "Apply / Careers ↗")</f>
        <v>Apply / Careers ↗</v>
      </c>
    </row>
    <row r="542" spans="1:7" ht="22.05" customHeight="1" x14ac:dyDescent="0.3">
      <c r="A542" s="7">
        <v>539</v>
      </c>
      <c r="B542" s="8" t="s">
        <v>1163</v>
      </c>
      <c r="C542" s="9" t="s">
        <v>1164</v>
      </c>
      <c r="D542" s="7" t="s">
        <v>384</v>
      </c>
      <c r="E542" s="10">
        <v>5.5</v>
      </c>
      <c r="F542" s="10">
        <v>8.1999999999999993</v>
      </c>
      <c r="G542" s="3" t="str">
        <f>HYPERLINK("https://www.nxtra.in/careers", "Apply / Careers ↗")</f>
        <v>Apply / Careers ↗</v>
      </c>
    </row>
    <row r="543" spans="1:7" ht="22.05" customHeight="1" x14ac:dyDescent="0.3">
      <c r="A543" s="11">
        <v>540</v>
      </c>
      <c r="B543" s="12" t="s">
        <v>1165</v>
      </c>
      <c r="C543" s="13" t="s">
        <v>1166</v>
      </c>
      <c r="D543" s="11" t="s">
        <v>384</v>
      </c>
      <c r="E543" s="14">
        <v>5.5</v>
      </c>
      <c r="F543" s="14">
        <v>8.1999999999999993</v>
      </c>
      <c r="G543" s="2" t="str">
        <f>HYPERLINK("https://www.sttelemediagdc.in/careers", "Apply / Careers ↗")</f>
        <v>Apply / Careers ↗</v>
      </c>
    </row>
    <row r="544" spans="1:7" ht="22.05" customHeight="1" x14ac:dyDescent="0.3">
      <c r="A544" s="7">
        <v>541</v>
      </c>
      <c r="B544" s="8" t="s">
        <v>1167</v>
      </c>
      <c r="C544" s="9" t="s">
        <v>1168</v>
      </c>
      <c r="D544" s="7" t="s">
        <v>482</v>
      </c>
      <c r="E544" s="10">
        <v>5.2</v>
      </c>
      <c r="F544" s="10">
        <v>7.8</v>
      </c>
      <c r="G544" s="3" t="str">
        <f>HYPERLINK("https://redingtongroup.com/india/careers/", "Apply / Careers ↗")</f>
        <v>Apply / Careers ↗</v>
      </c>
    </row>
    <row r="545" spans="1:7" ht="22.05" customHeight="1" x14ac:dyDescent="0.3">
      <c r="A545" s="11">
        <v>542</v>
      </c>
      <c r="B545" s="12" t="s">
        <v>1169</v>
      </c>
      <c r="C545" s="13" t="s">
        <v>1170</v>
      </c>
      <c r="D545" s="11" t="s">
        <v>482</v>
      </c>
      <c r="E545" s="14">
        <v>5.2</v>
      </c>
      <c r="F545" s="14">
        <v>7.8</v>
      </c>
      <c r="G545" s="2" t="str">
        <f>HYPERLINK("https://corp.ingrammicro.com/en-us/careers", "Apply / Careers ↗")</f>
        <v>Apply / Careers ↗</v>
      </c>
    </row>
    <row r="546" spans="1:7" ht="22.05" customHeight="1" x14ac:dyDescent="0.3">
      <c r="A546" s="7">
        <v>543</v>
      </c>
      <c r="B546" s="8" t="s">
        <v>1171</v>
      </c>
      <c r="C546" s="9" t="s">
        <v>1172</v>
      </c>
      <c r="D546" s="7" t="s">
        <v>706</v>
      </c>
      <c r="E546" s="10">
        <v>4.8</v>
      </c>
      <c r="F546" s="10">
        <v>7.2</v>
      </c>
      <c r="G546" s="3" t="str">
        <f>HYPERLINK("https://rptechindia.com/careers/", "Apply / Careers ↗")</f>
        <v>Apply / Careers ↗</v>
      </c>
    </row>
    <row r="547" spans="1:7" ht="22.05" customHeight="1" x14ac:dyDescent="0.3">
      <c r="A547" s="11">
        <v>544</v>
      </c>
      <c r="B547" s="12" t="s">
        <v>1173</v>
      </c>
      <c r="C547" s="13" t="s">
        <v>1174</v>
      </c>
      <c r="D547" s="11" t="s">
        <v>706</v>
      </c>
      <c r="E547" s="14">
        <v>4.8</v>
      </c>
      <c r="F547" s="14">
        <v>7.2</v>
      </c>
      <c r="G547" s="2" t="str">
        <f>HYPERLINK("https://savex.com/careers/", "Apply / Careers ↗")</f>
        <v>Apply / Careers ↗</v>
      </c>
    </row>
    <row r="548" spans="1:7" ht="22.05" customHeight="1" x14ac:dyDescent="0.3">
      <c r="A548" s="7">
        <v>545</v>
      </c>
      <c r="B548" s="8" t="s">
        <v>1175</v>
      </c>
      <c r="C548" s="9" t="s">
        <v>1176</v>
      </c>
      <c r="D548" s="7" t="s">
        <v>1177</v>
      </c>
      <c r="E548" s="10">
        <v>4.5</v>
      </c>
      <c r="F548" s="10">
        <v>7</v>
      </c>
      <c r="G548" s="3" t="str">
        <f>HYPERLINK("https://www.supertronindia.com/careers", "Apply / Careers ↗")</f>
        <v>Apply / Careers ↗</v>
      </c>
    </row>
    <row r="549" spans="1:7" ht="22.05" customHeight="1" x14ac:dyDescent="0.3">
      <c r="A549" s="11">
        <v>546</v>
      </c>
      <c r="B549" s="12" t="s">
        <v>1178</v>
      </c>
      <c r="C549" s="13" t="s">
        <v>1179</v>
      </c>
      <c r="D549" s="11" t="s">
        <v>706</v>
      </c>
      <c r="E549" s="14">
        <v>4.8</v>
      </c>
      <c r="F549" s="14">
        <v>7.2</v>
      </c>
      <c r="G549" s="2" t="str">
        <f>HYPERLINK("https://in.dlink.com/en/careers", "Apply / Careers ↗")</f>
        <v>Apply / Careers ↗</v>
      </c>
    </row>
    <row r="550" spans="1:7" ht="22.05" customHeight="1" x14ac:dyDescent="0.3">
      <c r="A550" s="7">
        <v>547</v>
      </c>
      <c r="B550" s="8" t="s">
        <v>1180</v>
      </c>
      <c r="C550" s="9" t="s">
        <v>1181</v>
      </c>
      <c r="D550" s="7" t="s">
        <v>384</v>
      </c>
      <c r="E550" s="10">
        <v>5.5</v>
      </c>
      <c r="F550" s="10">
        <v>8.1999999999999993</v>
      </c>
      <c r="G550" s="3" t="str">
        <f>HYPERLINK("https://www.netgear.com/about/careers/", "Apply / Careers ↗")</f>
        <v>Apply / Careers ↗</v>
      </c>
    </row>
    <row r="551" spans="1:7" ht="22.05" customHeight="1" x14ac:dyDescent="0.3">
      <c r="A551" s="11">
        <v>548</v>
      </c>
      <c r="B551" s="12" t="s">
        <v>1182</v>
      </c>
      <c r="C551" s="13" t="s">
        <v>1183</v>
      </c>
      <c r="D551" s="11" t="s">
        <v>706</v>
      </c>
      <c r="E551" s="14">
        <v>4.8</v>
      </c>
      <c r="F551" s="14">
        <v>7.2</v>
      </c>
      <c r="G551" s="2" t="str">
        <f>HYPERLINK("https://www.tp-link.com/in/about-us/careers/", "Apply / Careers ↗")</f>
        <v>Apply / Careers ↗</v>
      </c>
    </row>
    <row r="552" spans="1:7" ht="22.05" customHeight="1" x14ac:dyDescent="0.3">
      <c r="A552" s="7">
        <v>549</v>
      </c>
      <c r="B552" s="8" t="s">
        <v>1184</v>
      </c>
      <c r="C552" s="9" t="s">
        <v>1185</v>
      </c>
      <c r="D552" s="7" t="s">
        <v>345</v>
      </c>
      <c r="E552" s="10">
        <v>6</v>
      </c>
      <c r="F552" s="10">
        <v>9</v>
      </c>
      <c r="G552" s="3" t="str">
        <f>HYPERLINK("https://www.se.com/in/en/about-us/careers/overview.jsp", "Apply / Careers ↗")</f>
        <v>Apply / Careers ↗</v>
      </c>
    </row>
    <row r="553" spans="1:7" ht="22.05" customHeight="1" x14ac:dyDescent="0.3">
      <c r="A553" s="11">
        <v>550</v>
      </c>
      <c r="B553" s="12" t="s">
        <v>1186</v>
      </c>
      <c r="C553" s="13" t="s">
        <v>1187</v>
      </c>
      <c r="D553" s="11" t="s">
        <v>345</v>
      </c>
      <c r="E553" s="14">
        <v>6</v>
      </c>
      <c r="F553" s="14">
        <v>9</v>
      </c>
      <c r="G553" s="2" t="str">
        <f>HYPERLINK("https://www.siemens.com/in/en/company/jobs.html", "Apply / Careers ↗")</f>
        <v>Apply / Careers ↗</v>
      </c>
    </row>
    <row r="554" spans="1:7" ht="22.05" customHeight="1" x14ac:dyDescent="0.3">
      <c r="A554" s="7">
        <v>551</v>
      </c>
      <c r="B554" s="8" t="s">
        <v>1188</v>
      </c>
      <c r="C554" s="9" t="s">
        <v>1189</v>
      </c>
      <c r="D554" s="7" t="s">
        <v>345</v>
      </c>
      <c r="E554" s="10">
        <v>6</v>
      </c>
      <c r="F554" s="10">
        <v>9</v>
      </c>
      <c r="G554" s="3" t="str">
        <f>HYPERLINK("https://global.abb/group/en/careers", "Apply / Careers ↗")</f>
        <v>Apply / Careers ↗</v>
      </c>
    </row>
    <row r="555" spans="1:7" ht="22.05" customHeight="1" x14ac:dyDescent="0.3">
      <c r="A555" s="11">
        <v>552</v>
      </c>
      <c r="B555" s="12" t="s">
        <v>1190</v>
      </c>
      <c r="C555" s="13" t="s">
        <v>1191</v>
      </c>
      <c r="D555" s="11" t="s">
        <v>340</v>
      </c>
      <c r="E555" s="14">
        <v>6.2</v>
      </c>
      <c r="F555" s="14">
        <v>9.1999999999999993</v>
      </c>
      <c r="G555" s="2" t="str">
        <f>HYPERLINK("https://careers.honeywell.com/us/en", "Apply / Careers ↗")</f>
        <v>Apply / Careers ↗</v>
      </c>
    </row>
    <row r="556" spans="1:7" ht="22.05" customHeight="1" x14ac:dyDescent="0.3">
      <c r="A556" s="7">
        <v>553</v>
      </c>
      <c r="B556" s="8" t="s">
        <v>1192</v>
      </c>
      <c r="C556" s="9" t="s">
        <v>1193</v>
      </c>
      <c r="D556" s="7" t="s">
        <v>353</v>
      </c>
      <c r="E556" s="10">
        <v>5.8</v>
      </c>
      <c r="F556" s="10">
        <v>8.6</v>
      </c>
      <c r="G556" s="3" t="str">
        <f>HYPERLINK("https://www.emerson.com/en-in/careers", "Apply / Careers ↗")</f>
        <v>Apply / Careers ↗</v>
      </c>
    </row>
    <row r="557" spans="1:7" ht="22.05" customHeight="1" x14ac:dyDescent="0.3">
      <c r="A557" s="11">
        <v>554</v>
      </c>
      <c r="B557" s="12" t="s">
        <v>1194</v>
      </c>
      <c r="C557" s="13" t="s">
        <v>1195</v>
      </c>
      <c r="D557" s="11" t="s">
        <v>353</v>
      </c>
      <c r="E557" s="14">
        <v>5.8</v>
      </c>
      <c r="F557" s="14">
        <v>8.6</v>
      </c>
      <c r="G557" s="2" t="str">
        <f>HYPERLINK("https://www.rockwellautomation.com/en-in/company/careers.html", "Apply / Careers ↗")</f>
        <v>Apply / Careers ↗</v>
      </c>
    </row>
    <row r="558" spans="1:7" ht="22.05" customHeight="1" x14ac:dyDescent="0.3">
      <c r="A558" s="7">
        <v>555</v>
      </c>
      <c r="B558" s="8" t="s">
        <v>1196</v>
      </c>
      <c r="C558" s="9" t="s">
        <v>1197</v>
      </c>
      <c r="D558" s="7" t="s">
        <v>387</v>
      </c>
      <c r="E558" s="10">
        <v>5.3</v>
      </c>
      <c r="F558" s="10">
        <v>8</v>
      </c>
      <c r="G558" s="3" t="str">
        <f>HYPERLINK("https://www.yokogawa.com/in/about/careers/", "Apply / Careers ↗")</f>
        <v>Apply / Careers ↗</v>
      </c>
    </row>
    <row r="559" spans="1:7" ht="22.05" customHeight="1" x14ac:dyDescent="0.3">
      <c r="A559" s="11">
        <v>556</v>
      </c>
      <c r="B559" s="12" t="s">
        <v>1198</v>
      </c>
      <c r="C559" s="13" t="s">
        <v>1199</v>
      </c>
      <c r="D559" s="11" t="s">
        <v>384</v>
      </c>
      <c r="E559" s="14">
        <v>5.5</v>
      </c>
      <c r="F559" s="14">
        <v>8.1999999999999993</v>
      </c>
      <c r="G559" s="2" t="str">
        <f>HYPERLINK("https://www.danfoss.com/en-in/about-danfoss/careers/", "Apply / Careers ↗")</f>
        <v>Apply / Careers ↗</v>
      </c>
    </row>
    <row r="560" spans="1:7" ht="22.05" customHeight="1" x14ac:dyDescent="0.3">
      <c r="A560" s="7">
        <v>557</v>
      </c>
      <c r="B560" s="8" t="s">
        <v>1200</v>
      </c>
      <c r="C560" s="9" t="s">
        <v>1201</v>
      </c>
      <c r="D560" s="7" t="s">
        <v>482</v>
      </c>
      <c r="E560" s="10">
        <v>5.2</v>
      </c>
      <c r="F560" s="10">
        <v>7.8</v>
      </c>
      <c r="G560" s="3" t="str">
        <f>HYPERLINK("https://www.thermaxglobal.com/careers/", "Apply / Careers ↗")</f>
        <v>Apply / Careers ↗</v>
      </c>
    </row>
    <row r="561" spans="1:7" ht="22.05" customHeight="1" x14ac:dyDescent="0.3">
      <c r="A561" s="11">
        <v>558</v>
      </c>
      <c r="B561" s="12" t="s">
        <v>1202</v>
      </c>
      <c r="C561" s="13" t="s">
        <v>1203</v>
      </c>
      <c r="D561" s="11" t="s">
        <v>446</v>
      </c>
      <c r="E561" s="14">
        <v>5</v>
      </c>
      <c r="F561" s="14">
        <v>7.6</v>
      </c>
      <c r="G561" s="2" t="str">
        <f>HYPERLINK("https://www.forbesmarshall.com/careers", "Apply / Careers ↗")</f>
        <v>Apply / Careers ↗</v>
      </c>
    </row>
    <row r="562" spans="1:7" ht="22.05" customHeight="1" x14ac:dyDescent="0.3">
      <c r="A562" s="7">
        <v>559</v>
      </c>
      <c r="B562" s="8" t="s">
        <v>1204</v>
      </c>
      <c r="C562" s="9" t="s">
        <v>1205</v>
      </c>
      <c r="D562" s="7" t="s">
        <v>446</v>
      </c>
      <c r="E562" s="10">
        <v>5</v>
      </c>
      <c r="F562" s="10">
        <v>7.6</v>
      </c>
      <c r="G562" s="3" t="str">
        <f>HYPERLINK("https://www.kirloskarpumps.com/careers/", "Apply / Careers ↗")</f>
        <v>Apply / Careers ↗</v>
      </c>
    </row>
    <row r="563" spans="1:7" ht="22.05" customHeight="1" x14ac:dyDescent="0.3">
      <c r="A563" s="11">
        <v>560</v>
      </c>
      <c r="B563" s="12" t="s">
        <v>1206</v>
      </c>
      <c r="C563" s="13" t="s">
        <v>1207</v>
      </c>
      <c r="D563" s="11" t="s">
        <v>446</v>
      </c>
      <c r="E563" s="14">
        <v>5</v>
      </c>
      <c r="F563" s="14">
        <v>7.6</v>
      </c>
      <c r="G563" s="2" t="str">
        <f>HYPERLINK("https://www.koel.co.in/careers", "Apply / Careers ↗")</f>
        <v>Apply / Careers ↗</v>
      </c>
    </row>
    <row r="564" spans="1:7" ht="22.05" customHeight="1" x14ac:dyDescent="0.3">
      <c r="A564" s="7">
        <v>561</v>
      </c>
      <c r="B564" s="8" t="s">
        <v>1208</v>
      </c>
      <c r="C564" s="9" t="s">
        <v>1209</v>
      </c>
      <c r="D564" s="7" t="s">
        <v>353</v>
      </c>
      <c r="E564" s="10">
        <v>5.8</v>
      </c>
      <c r="F564" s="10">
        <v>8.6</v>
      </c>
      <c r="G564" s="3" t="str">
        <f>HYPERLINK("https://www.cummins.com/careers", "Apply / Careers ↗")</f>
        <v>Apply / Careers ↗</v>
      </c>
    </row>
    <row r="565" spans="1:7" ht="22.05" customHeight="1" x14ac:dyDescent="0.3">
      <c r="A565" s="11">
        <v>562</v>
      </c>
      <c r="B565" s="12" t="s">
        <v>1210</v>
      </c>
      <c r="C565" s="13" t="s">
        <v>1211</v>
      </c>
      <c r="D565" s="11" t="s">
        <v>446</v>
      </c>
      <c r="E565" s="14">
        <v>5</v>
      </c>
      <c r="F565" s="14">
        <v>7.6</v>
      </c>
      <c r="G565" s="2" t="str">
        <f>HYPERLINK("https://www.greavescotton.com/careers", "Apply / Careers ↗")</f>
        <v>Apply / Careers ↗</v>
      </c>
    </row>
    <row r="566" spans="1:7" ht="22.05" customHeight="1" x14ac:dyDescent="0.3">
      <c r="A566" s="7">
        <v>563</v>
      </c>
      <c r="B566" s="8" t="s">
        <v>1212</v>
      </c>
      <c r="C566" s="9" t="s">
        <v>1213</v>
      </c>
      <c r="D566" s="7" t="s">
        <v>482</v>
      </c>
      <c r="E566" s="10">
        <v>5.2</v>
      </c>
      <c r="F566" s="10">
        <v>7.8</v>
      </c>
      <c r="G566" s="3" t="str">
        <f>HYPERLINK("https://www.escortsgroup.com/careers.html", "Apply / Careers ↗")</f>
        <v>Apply / Careers ↗</v>
      </c>
    </row>
    <row r="567" spans="1:7" ht="22.05" customHeight="1" x14ac:dyDescent="0.3">
      <c r="A567" s="11">
        <v>564</v>
      </c>
      <c r="B567" s="12" t="s">
        <v>1214</v>
      </c>
      <c r="C567" s="13" t="s">
        <v>1215</v>
      </c>
      <c r="D567" s="11" t="s">
        <v>706</v>
      </c>
      <c r="E567" s="14">
        <v>4.8</v>
      </c>
      <c r="F567" s="14">
        <v>7.2</v>
      </c>
      <c r="G567" s="2" t="str">
        <f>HYPERLINK("https://www.ace-cranes.com/careers", "Apply / Careers ↗")</f>
        <v>Apply / Careers ↗</v>
      </c>
    </row>
    <row r="568" spans="1:7" ht="22.05" customHeight="1" x14ac:dyDescent="0.3">
      <c r="A568" s="7">
        <v>565</v>
      </c>
      <c r="B568" s="8" t="s">
        <v>1216</v>
      </c>
      <c r="C568" s="9" t="s">
        <v>1217</v>
      </c>
      <c r="D568" s="7" t="s">
        <v>446</v>
      </c>
      <c r="E568" s="10">
        <v>5</v>
      </c>
      <c r="F568" s="10">
        <v>7.6</v>
      </c>
      <c r="G568" s="3" t="str">
        <f>HYPERLINK("https://www.bemlindia.in/current-openings/", "Apply / Careers ↗")</f>
        <v>Apply / Careers ↗</v>
      </c>
    </row>
    <row r="569" spans="1:7" ht="22.05" customHeight="1" x14ac:dyDescent="0.3">
      <c r="A569" s="11">
        <v>566</v>
      </c>
      <c r="B569" s="12" t="s">
        <v>1218</v>
      </c>
      <c r="C569" s="13" t="s">
        <v>1219</v>
      </c>
      <c r="D569" s="11" t="s">
        <v>482</v>
      </c>
      <c r="E569" s="14">
        <v>5.2</v>
      </c>
      <c r="F569" s="14">
        <v>7.8</v>
      </c>
      <c r="G569" s="2" t="str">
        <f>HYPERLINK("https://careers.bhel.in/", "Apply / Careers ↗")</f>
        <v>Apply / Careers ↗</v>
      </c>
    </row>
    <row r="570" spans="1:7" ht="22.05" customHeight="1" x14ac:dyDescent="0.3">
      <c r="A570" s="7">
        <v>567</v>
      </c>
      <c r="B570" s="8" t="s">
        <v>1220</v>
      </c>
      <c r="C570" s="9" t="s">
        <v>1221</v>
      </c>
      <c r="D570" s="7" t="s">
        <v>353</v>
      </c>
      <c r="E570" s="10">
        <v>5.8</v>
      </c>
      <c r="F570" s="10">
        <v>8.6</v>
      </c>
      <c r="G570" s="3" t="str">
        <f>HYPERLINK("https://www.larsentoubro.com/corporate/careers/", "Apply / Careers ↗")</f>
        <v>Apply / Careers ↗</v>
      </c>
    </row>
    <row r="571" spans="1:7" ht="22.05" customHeight="1" x14ac:dyDescent="0.3">
      <c r="A571" s="11">
        <v>568</v>
      </c>
      <c r="B571" s="12" t="s">
        <v>1222</v>
      </c>
      <c r="C571" s="13" t="s">
        <v>1223</v>
      </c>
      <c r="D571" s="11" t="s">
        <v>387</v>
      </c>
      <c r="E571" s="14">
        <v>5.3</v>
      </c>
      <c r="F571" s="14">
        <v>8</v>
      </c>
      <c r="G571" s="2" t="str">
        <f>HYPERLINK("https://www.tataprojects.com/careers/", "Apply / Careers ↗")</f>
        <v>Apply / Careers ↗</v>
      </c>
    </row>
    <row r="572" spans="1:7" ht="22.05" customHeight="1" x14ac:dyDescent="0.3">
      <c r="A572" s="7">
        <v>569</v>
      </c>
      <c r="B572" s="8" t="s">
        <v>1224</v>
      </c>
      <c r="C572" s="9" t="s">
        <v>1225</v>
      </c>
      <c r="D572" s="7" t="s">
        <v>482</v>
      </c>
      <c r="E572" s="10">
        <v>5.2</v>
      </c>
      <c r="F572" s="10">
        <v>7.8</v>
      </c>
      <c r="G572" s="3" t="str">
        <f>HYPERLINK("https://www.afcons.com/en/careers", "Apply / Careers ↗")</f>
        <v>Apply / Careers ↗</v>
      </c>
    </row>
    <row r="573" spans="1:7" ht="22.05" customHeight="1" x14ac:dyDescent="0.3">
      <c r="A573" s="11">
        <v>570</v>
      </c>
      <c r="B573" s="12" t="s">
        <v>1226</v>
      </c>
      <c r="C573" s="13" t="s">
        <v>1227</v>
      </c>
      <c r="D573" s="11" t="s">
        <v>446</v>
      </c>
      <c r="E573" s="14">
        <v>5</v>
      </c>
      <c r="F573" s="14">
        <v>7.6</v>
      </c>
      <c r="G573" s="2" t="str">
        <f>HYPERLINK("https://www.dilipbuildcon.com/careers/", "Apply / Careers ↗")</f>
        <v>Apply / Careers ↗</v>
      </c>
    </row>
    <row r="574" spans="1:7" ht="22.05" customHeight="1" x14ac:dyDescent="0.3">
      <c r="A574" s="7">
        <v>571</v>
      </c>
      <c r="B574" s="8" t="s">
        <v>1228</v>
      </c>
      <c r="C574" s="9" t="s">
        <v>1229</v>
      </c>
      <c r="D574" s="7" t="s">
        <v>446</v>
      </c>
      <c r="E574" s="10">
        <v>5</v>
      </c>
      <c r="F574" s="10">
        <v>7.6</v>
      </c>
      <c r="G574" s="3" t="str">
        <f>HYPERLINK("https://www.irb.co.in/careers/", "Apply / Careers ↗")</f>
        <v>Apply / Careers ↗</v>
      </c>
    </row>
    <row r="575" spans="1:7" ht="22.05" customHeight="1" x14ac:dyDescent="0.3">
      <c r="A575" s="11">
        <v>572</v>
      </c>
      <c r="B575" s="12" t="s">
        <v>1230</v>
      </c>
      <c r="C575" s="13" t="s">
        <v>1231</v>
      </c>
      <c r="D575" s="11" t="s">
        <v>706</v>
      </c>
      <c r="E575" s="14">
        <v>4.8</v>
      </c>
      <c r="F575" s="14">
        <v>7.2</v>
      </c>
      <c r="G575" s="2" t="str">
        <f>HYPERLINK("https://ncclimited.com/careers.html", "Apply / Careers ↗")</f>
        <v>Apply / Careers ↗</v>
      </c>
    </row>
    <row r="576" spans="1:7" ht="22.05" customHeight="1" x14ac:dyDescent="0.3">
      <c r="A576" s="7">
        <v>573</v>
      </c>
      <c r="B576" s="8" t="s">
        <v>1232</v>
      </c>
      <c r="C576" s="9" t="s">
        <v>1233</v>
      </c>
      <c r="D576" s="7" t="s">
        <v>706</v>
      </c>
      <c r="E576" s="10">
        <v>4.8</v>
      </c>
      <c r="F576" s="10">
        <v>7.2</v>
      </c>
      <c r="G576" s="3" t="str">
        <f>HYPERLINK("https://www.pncinfratech.com/careers.html", "Apply / Careers ↗")</f>
        <v>Apply / Careers ↗</v>
      </c>
    </row>
    <row r="577" spans="1:7" ht="22.05" customHeight="1" x14ac:dyDescent="0.3">
      <c r="A577" s="11">
        <v>574</v>
      </c>
      <c r="B577" s="12" t="s">
        <v>1234</v>
      </c>
      <c r="C577" s="13" t="s">
        <v>1235</v>
      </c>
      <c r="D577" s="11" t="s">
        <v>706</v>
      </c>
      <c r="E577" s="14">
        <v>4.8</v>
      </c>
      <c r="F577" s="14">
        <v>7.2</v>
      </c>
      <c r="G577" s="2" t="str">
        <f>HYPERLINK("https://www.knrcl.com/careers.html", "Apply / Careers ↗")</f>
        <v>Apply / Careers ↗</v>
      </c>
    </row>
    <row r="578" spans="1:7" ht="22.05" customHeight="1" x14ac:dyDescent="0.3">
      <c r="A578" s="7">
        <v>575</v>
      </c>
      <c r="B578" s="8" t="s">
        <v>1236</v>
      </c>
      <c r="C578" s="9" t="s">
        <v>1237</v>
      </c>
      <c r="D578" s="7" t="s">
        <v>706</v>
      </c>
      <c r="E578" s="10">
        <v>4.8</v>
      </c>
      <c r="F578" s="10">
        <v>7.2</v>
      </c>
      <c r="G578" s="3" t="str">
        <f>HYPERLINK("https://www.grinfra.com/careers", "Apply / Careers ↗")</f>
        <v>Apply / Careers ↗</v>
      </c>
    </row>
    <row r="579" spans="1:7" ht="22.05" customHeight="1" x14ac:dyDescent="0.3">
      <c r="A579" s="11">
        <v>576</v>
      </c>
      <c r="B579" s="12" t="s">
        <v>1238</v>
      </c>
      <c r="C579" s="13" t="s">
        <v>1239</v>
      </c>
      <c r="D579" s="11" t="s">
        <v>384</v>
      </c>
      <c r="E579" s="14">
        <v>5.5</v>
      </c>
      <c r="F579" s="14">
        <v>8.1999999999999993</v>
      </c>
      <c r="G579" s="2" t="str">
        <f>HYPERLINK("https://www.gmrgroup.in/careers/", "Apply / Careers ↗")</f>
        <v>Apply / Careers ↗</v>
      </c>
    </row>
    <row r="580" spans="1:7" ht="22.05" customHeight="1" x14ac:dyDescent="0.3">
      <c r="A580" s="7">
        <v>577</v>
      </c>
      <c r="B580" s="8" t="s">
        <v>1240</v>
      </c>
      <c r="C580" s="9" t="s">
        <v>1241</v>
      </c>
      <c r="D580" s="7" t="s">
        <v>353</v>
      </c>
      <c r="E580" s="10">
        <v>5.8</v>
      </c>
      <c r="F580" s="10">
        <v>8.6</v>
      </c>
      <c r="G580" s="3" t="str">
        <f>HYPERLINK("https://www.adaniports.com/careers", "Apply / Careers ↗")</f>
        <v>Apply / Careers ↗</v>
      </c>
    </row>
    <row r="581" spans="1:7" ht="22.05" customHeight="1" x14ac:dyDescent="0.3">
      <c r="A581" s="11">
        <v>578</v>
      </c>
      <c r="B581" s="12" t="s">
        <v>1242</v>
      </c>
      <c r="C581" s="13" t="s">
        <v>1243</v>
      </c>
      <c r="D581" s="11" t="s">
        <v>482</v>
      </c>
      <c r="E581" s="14">
        <v>5.2</v>
      </c>
      <c r="F581" s="14">
        <v>7.8</v>
      </c>
      <c r="G581" s="2" t="str">
        <f>HYPERLINK("https://www.jsw.in/infrastructure/careers", "Apply / Careers ↗")</f>
        <v>Apply / Careers ↗</v>
      </c>
    </row>
    <row r="582" spans="1:7" ht="22.05" customHeight="1" x14ac:dyDescent="0.3">
      <c r="A582" s="7">
        <v>579</v>
      </c>
      <c r="B582" s="8" t="s">
        <v>1244</v>
      </c>
      <c r="C582" s="9" t="s">
        <v>1245</v>
      </c>
      <c r="D582" s="7" t="s">
        <v>482</v>
      </c>
      <c r="E582" s="10">
        <v>5.2</v>
      </c>
      <c r="F582" s="10">
        <v>7.8</v>
      </c>
      <c r="G582" s="3" t="str">
        <f>HYPERLINK("https://www.pipavav.com/careers", "Apply / Careers ↗")</f>
        <v>Apply / Careers ↗</v>
      </c>
    </row>
    <row r="583" spans="1:7" ht="22.05" customHeight="1" x14ac:dyDescent="0.3">
      <c r="A583" s="11">
        <v>580</v>
      </c>
      <c r="B583" s="12" t="s">
        <v>1246</v>
      </c>
      <c r="C583" s="13" t="s">
        <v>1247</v>
      </c>
      <c r="D583" s="11" t="s">
        <v>446</v>
      </c>
      <c r="E583" s="14">
        <v>5</v>
      </c>
      <c r="F583" s="14">
        <v>7.6</v>
      </c>
      <c r="G583" s="2" t="str">
        <f>HYPERLINK("https://cochinshipyard.in/career", "Apply / Careers ↗")</f>
        <v>Apply / Careers ↗</v>
      </c>
    </row>
    <row r="584" spans="1:7" ht="22.05" customHeight="1" x14ac:dyDescent="0.3">
      <c r="A584" s="7">
        <v>581</v>
      </c>
      <c r="B584" s="8" t="s">
        <v>1248</v>
      </c>
      <c r="C584" s="9" t="s">
        <v>1249</v>
      </c>
      <c r="D584" s="7" t="s">
        <v>446</v>
      </c>
      <c r="E584" s="10">
        <v>5</v>
      </c>
      <c r="F584" s="10">
        <v>7.6</v>
      </c>
      <c r="G584" s="3" t="str">
        <f>HYPERLINK("https://mazagondock.in/Career-Openings.aspx", "Apply / Careers ↗")</f>
        <v>Apply / Careers ↗</v>
      </c>
    </row>
    <row r="585" spans="1:7" ht="22.05" customHeight="1" x14ac:dyDescent="0.3">
      <c r="A585" s="11">
        <v>582</v>
      </c>
      <c r="B585" s="12" t="s">
        <v>1250</v>
      </c>
      <c r="C585" s="13" t="s">
        <v>1251</v>
      </c>
      <c r="D585" s="11" t="s">
        <v>706</v>
      </c>
      <c r="E585" s="14">
        <v>4.8</v>
      </c>
      <c r="F585" s="14">
        <v>7.2</v>
      </c>
      <c r="G585" s="2" t="str">
        <f>HYPERLINK("https://grse.in/job-openings/", "Apply / Careers ↗")</f>
        <v>Apply / Careers ↗</v>
      </c>
    </row>
    <row r="586" spans="1:7" ht="22.05" customHeight="1" x14ac:dyDescent="0.3">
      <c r="A586" s="7">
        <v>583</v>
      </c>
      <c r="B586" s="8" t="s">
        <v>1252</v>
      </c>
      <c r="C586" s="9" t="s">
        <v>1253</v>
      </c>
      <c r="D586" s="7" t="s">
        <v>387</v>
      </c>
      <c r="E586" s="10">
        <v>5.3</v>
      </c>
      <c r="F586" s="10">
        <v>8</v>
      </c>
      <c r="G586" s="3" t="str">
        <f>HYPERLINK("https://hal-india.co.in/Career_Docs.aspx", "Apply / Careers ↗")</f>
        <v>Apply / Careers ↗</v>
      </c>
    </row>
    <row r="587" spans="1:7" ht="22.05" customHeight="1" x14ac:dyDescent="0.3">
      <c r="A587" s="11">
        <v>584</v>
      </c>
      <c r="B587" s="12" t="s">
        <v>1254</v>
      </c>
      <c r="C587" s="13" t="s">
        <v>1255</v>
      </c>
      <c r="D587" s="11" t="s">
        <v>387</v>
      </c>
      <c r="E587" s="14">
        <v>5.3</v>
      </c>
      <c r="F587" s="14">
        <v>8</v>
      </c>
      <c r="G587" s="2" t="str">
        <f>HYPERLINK("https://bel-india.in/careers/", "Apply / Careers ↗")</f>
        <v>Apply / Careers ↗</v>
      </c>
    </row>
    <row r="588" spans="1:7" ht="22.05" customHeight="1" x14ac:dyDescent="0.3">
      <c r="A588" s="7">
        <v>585</v>
      </c>
      <c r="B588" s="8" t="s">
        <v>1256</v>
      </c>
      <c r="C588" s="9" t="s">
        <v>1257</v>
      </c>
      <c r="D588" s="7" t="s">
        <v>446</v>
      </c>
      <c r="E588" s="10">
        <v>5</v>
      </c>
      <c r="F588" s="10">
        <v>7.6</v>
      </c>
      <c r="G588" s="3" t="str">
        <f>HYPERLINK("https://bdl-india.in/careers", "Apply / Careers ↗")</f>
        <v>Apply / Careers ↗</v>
      </c>
    </row>
    <row r="589" spans="1:7" ht="22.05" customHeight="1" x14ac:dyDescent="0.3">
      <c r="A589" s="11">
        <v>586</v>
      </c>
      <c r="B589" s="12" t="s">
        <v>1258</v>
      </c>
      <c r="C589" s="13" t="s">
        <v>1259</v>
      </c>
      <c r="D589" s="11" t="s">
        <v>446</v>
      </c>
      <c r="E589" s="14">
        <v>5</v>
      </c>
      <c r="F589" s="14">
        <v>7.6</v>
      </c>
      <c r="G589" s="2" t="str">
        <f>HYPERLINK("https://www.astramwp.com/careers/", "Apply / Careers ↗")</f>
        <v>Apply / Careers ↗</v>
      </c>
    </row>
    <row r="590" spans="1:7" ht="22.05" customHeight="1" x14ac:dyDescent="0.3">
      <c r="A590" s="7">
        <v>587</v>
      </c>
      <c r="B590" s="8" t="s">
        <v>1260</v>
      </c>
      <c r="C590" s="9" t="s">
        <v>1261</v>
      </c>
      <c r="D590" s="7" t="s">
        <v>387</v>
      </c>
      <c r="E590" s="10">
        <v>5.3</v>
      </c>
      <c r="F590" s="10">
        <v>8</v>
      </c>
      <c r="G590" s="3" t="str">
        <f>HYPERLINK("https://www.datapatternsindia.com/careers/", "Apply / Careers ↗")</f>
        <v>Apply / Careers ↗</v>
      </c>
    </row>
    <row r="591" spans="1:7" ht="22.05" customHeight="1" x14ac:dyDescent="0.3">
      <c r="A591" s="11">
        <v>588</v>
      </c>
      <c r="B591" s="12" t="s">
        <v>1262</v>
      </c>
      <c r="C591" s="13" t="s">
        <v>1263</v>
      </c>
      <c r="D591" s="11" t="s">
        <v>446</v>
      </c>
      <c r="E591" s="14">
        <v>5</v>
      </c>
      <c r="F591" s="14">
        <v>7.6</v>
      </c>
      <c r="G591" s="2" t="str">
        <f>HYPERLINK("https://www.parasdefence.com/careers/", "Apply / Careers ↗")</f>
        <v>Apply / Careers ↗</v>
      </c>
    </row>
    <row r="592" spans="1:7" ht="22.05" customHeight="1" x14ac:dyDescent="0.3">
      <c r="A592" s="7">
        <v>589</v>
      </c>
      <c r="B592" s="8" t="s">
        <v>1264</v>
      </c>
      <c r="C592" s="9" t="s">
        <v>1265</v>
      </c>
      <c r="D592" s="7" t="s">
        <v>482</v>
      </c>
      <c r="E592" s="10">
        <v>5.2</v>
      </c>
      <c r="F592" s="10">
        <v>7.8</v>
      </c>
      <c r="G592" s="3" t="str">
        <f>HYPERLINK("https://www.zentechnologies.com/careers", "Apply / Careers ↗")</f>
        <v>Apply / Careers ↗</v>
      </c>
    </row>
    <row r="593" spans="1:7" ht="22.05" customHeight="1" x14ac:dyDescent="0.3">
      <c r="A593" s="11">
        <v>590</v>
      </c>
      <c r="B593" s="12" t="s">
        <v>1266</v>
      </c>
      <c r="C593" s="13" t="s">
        <v>1267</v>
      </c>
      <c r="D593" s="11" t="s">
        <v>482</v>
      </c>
      <c r="E593" s="14">
        <v>5.2</v>
      </c>
      <c r="F593" s="14">
        <v>7.8</v>
      </c>
      <c r="G593" s="2" t="str">
        <f>HYPERLINK("https://www.dynamatics.com/careers.html", "Apply / Careers ↗")</f>
        <v>Apply / Careers ↗</v>
      </c>
    </row>
    <row r="594" spans="1:7" ht="22.05" customHeight="1" x14ac:dyDescent="0.3">
      <c r="A594" s="7">
        <v>591</v>
      </c>
      <c r="B594" s="8" t="s">
        <v>1268</v>
      </c>
      <c r="C594" s="9" t="s">
        <v>1269</v>
      </c>
      <c r="D594" s="7" t="s">
        <v>482</v>
      </c>
      <c r="E594" s="10">
        <v>5.2</v>
      </c>
      <c r="F594" s="10">
        <v>7.8</v>
      </c>
      <c r="G594" s="3" t="str">
        <f>HYPERLINK("https://www.suntv.in/careers/", "Apply / Careers ↗")</f>
        <v>Apply / Careers ↗</v>
      </c>
    </row>
    <row r="595" spans="1:7" ht="22.05" customHeight="1" x14ac:dyDescent="0.3">
      <c r="A595" s="11">
        <v>592</v>
      </c>
      <c r="B595" s="12" t="s">
        <v>1270</v>
      </c>
      <c r="C595" s="13" t="s">
        <v>1271</v>
      </c>
      <c r="D595" s="11" t="s">
        <v>387</v>
      </c>
      <c r="E595" s="14">
        <v>5.3</v>
      </c>
      <c r="F595" s="14">
        <v>8</v>
      </c>
      <c r="G595" s="2" t="str">
        <f>HYPERLINK("https://www.aha.video/careers", "Apply / Careers ↗")</f>
        <v>Apply / Careers ↗</v>
      </c>
    </row>
    <row r="596" spans="1:7" ht="22.05" customHeight="1" x14ac:dyDescent="0.3">
      <c r="A596" s="7">
        <v>593</v>
      </c>
      <c r="B596" s="8" t="s">
        <v>1272</v>
      </c>
      <c r="C596" s="9" t="s">
        <v>1273</v>
      </c>
      <c r="D596" s="7" t="s">
        <v>340</v>
      </c>
      <c r="E596" s="10">
        <v>6.2</v>
      </c>
      <c r="F596" s="10">
        <v>9.1999999999999993</v>
      </c>
      <c r="G596" s="3" t="str">
        <f>HYPERLINK("https://in.bookmyshow.com/careers", "Apply / Careers ↗")</f>
        <v>Apply / Careers ↗</v>
      </c>
    </row>
    <row r="597" spans="1:7" ht="22.05" customHeight="1" x14ac:dyDescent="0.3">
      <c r="A597" s="11">
        <v>594</v>
      </c>
      <c r="B597" s="12" t="s">
        <v>1274</v>
      </c>
      <c r="C597" s="13" t="s">
        <v>1275</v>
      </c>
      <c r="D597" s="11" t="s">
        <v>387</v>
      </c>
      <c r="E597" s="14">
        <v>5.3</v>
      </c>
      <c r="F597" s="14">
        <v>8</v>
      </c>
      <c r="G597" s="2" t="str">
        <f>HYPERLINK("https://www.pvrcinemas.com/careers", "Apply / Careers ↗")</f>
        <v>Apply / Careers ↗</v>
      </c>
    </row>
    <row r="598" spans="1:7" ht="22.05" customHeight="1" x14ac:dyDescent="0.3">
      <c r="A598" s="7">
        <v>595</v>
      </c>
      <c r="B598" s="8" t="s">
        <v>1276</v>
      </c>
      <c r="C598" s="9" t="s">
        <v>1277</v>
      </c>
      <c r="D598" s="7" t="s">
        <v>340</v>
      </c>
      <c r="E598" s="10">
        <v>6.2</v>
      </c>
      <c r="F598" s="10">
        <v>9.1999999999999993</v>
      </c>
      <c r="G598" s="3" t="str">
        <f>HYPERLINK("https://timesinternet.in/careers", "Apply / Careers ↗")</f>
        <v>Apply / Careers ↗</v>
      </c>
    </row>
    <row r="599" spans="1:7" ht="22.05" customHeight="1" x14ac:dyDescent="0.3">
      <c r="A599" s="11">
        <v>596</v>
      </c>
      <c r="B599" s="12" t="s">
        <v>1278</v>
      </c>
      <c r="C599" s="13" t="s">
        <v>1279</v>
      </c>
      <c r="D599" s="11" t="s">
        <v>446</v>
      </c>
      <c r="E599" s="14">
        <v>5</v>
      </c>
      <c r="F599" s="14">
        <v>7.6</v>
      </c>
      <c r="G599" s="2" t="str">
        <f>HYPERLINK("https://www.shemaroo.com/careers", "Apply / Careers ↗")</f>
        <v>Apply / Careers ↗</v>
      </c>
    </row>
    <row r="600" spans="1:7" ht="22.05" customHeight="1" x14ac:dyDescent="0.3">
      <c r="A600" s="7">
        <v>597</v>
      </c>
      <c r="B600" s="8" t="s">
        <v>1280</v>
      </c>
      <c r="C600" s="9" t="s">
        <v>1281</v>
      </c>
      <c r="D600" s="7" t="s">
        <v>353</v>
      </c>
      <c r="E600" s="10">
        <v>5.8</v>
      </c>
      <c r="F600" s="10">
        <v>8.6</v>
      </c>
      <c r="G600" s="3" t="str">
        <f>HYPERLINK("https://www.nw18.com/careers/", "Apply / Careers ↗")</f>
        <v>Apply / Careers ↗</v>
      </c>
    </row>
    <row r="601" spans="1:7" ht="22.05" customHeight="1" x14ac:dyDescent="0.3">
      <c r="A601" s="11">
        <v>598</v>
      </c>
      <c r="B601" s="12" t="s">
        <v>1282</v>
      </c>
      <c r="C601" s="13" t="s">
        <v>1283</v>
      </c>
      <c r="D601" s="11" t="s">
        <v>482</v>
      </c>
      <c r="E601" s="14">
        <v>5.2</v>
      </c>
      <c r="F601" s="14">
        <v>7.8</v>
      </c>
      <c r="G601" s="2" t="str">
        <f>HYPERLINK("https://www.ndtv.com/jobs", "Apply / Careers ↗")</f>
        <v>Apply / Careers ↗</v>
      </c>
    </row>
    <row r="602" spans="1:7" ht="22.05" customHeight="1" x14ac:dyDescent="0.3">
      <c r="A602" s="7">
        <v>599</v>
      </c>
      <c r="B602" s="8" t="s">
        <v>1284</v>
      </c>
      <c r="C602" s="9" t="s">
        <v>1285</v>
      </c>
      <c r="D602" s="7" t="s">
        <v>482</v>
      </c>
      <c r="E602" s="10">
        <v>5.2</v>
      </c>
      <c r="F602" s="10">
        <v>7.8</v>
      </c>
      <c r="G602" s="3" t="str">
        <f>HYPERLINK("https://www.indiatodaygroup.com/careers.php", "Apply / Careers ↗")</f>
        <v>Apply / Careers ↗</v>
      </c>
    </row>
    <row r="603" spans="1:7" ht="22.05" customHeight="1" x14ac:dyDescent="0.3">
      <c r="A603" s="11">
        <v>600</v>
      </c>
      <c r="B603" s="12" t="s">
        <v>1286</v>
      </c>
      <c r="C603" s="13" t="s">
        <v>1287</v>
      </c>
      <c r="D603" s="11" t="s">
        <v>482</v>
      </c>
      <c r="E603" s="14">
        <v>5.2</v>
      </c>
      <c r="F603" s="14">
        <v>7.8</v>
      </c>
      <c r="G603" s="2" t="str">
        <f>HYPERLINK("https://www.htmedia.in/careers", "Apply / Careers ↗")</f>
        <v>Apply / Careers ↗</v>
      </c>
    </row>
  </sheetData>
  <autoFilter ref="A3:G603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4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0" customWidth="1"/>
    <col min="2" max="2" width="34" customWidth="1"/>
    <col min="3" max="3" width="48" customWidth="1"/>
    <col min="4" max="4" width="25" customWidth="1"/>
    <col min="5" max="6" width="16" customWidth="1"/>
    <col min="7" max="7" width="24" customWidth="1"/>
  </cols>
  <sheetData>
    <row r="1" spans="1:7" ht="21" x14ac:dyDescent="0.4">
      <c r="A1" s="4" t="s">
        <v>1288</v>
      </c>
    </row>
    <row r="2" spans="1:7" x14ac:dyDescent="0.3">
      <c r="A2" s="1" t="s">
        <v>1289</v>
      </c>
    </row>
    <row r="4" spans="1:7" ht="28.05" customHeight="1" x14ac:dyDescent="0.3">
      <c r="A4" s="5" t="s">
        <v>2</v>
      </c>
      <c r="B4" s="6" t="s">
        <v>3</v>
      </c>
      <c r="C4" s="6" t="s">
        <v>4</v>
      </c>
      <c r="D4" s="6" t="s">
        <v>5</v>
      </c>
      <c r="E4" s="5" t="s">
        <v>6</v>
      </c>
      <c r="F4" s="5" t="s">
        <v>7</v>
      </c>
      <c r="G4" s="5" t="s">
        <v>8</v>
      </c>
    </row>
    <row r="5" spans="1:7" ht="22.05" customHeight="1" x14ac:dyDescent="0.3">
      <c r="A5" s="7">
        <v>1</v>
      </c>
      <c r="B5" s="8" t="s">
        <v>9</v>
      </c>
      <c r="C5" s="9" t="s">
        <v>10</v>
      </c>
      <c r="D5" s="7" t="s">
        <v>11</v>
      </c>
      <c r="E5" s="10">
        <v>45</v>
      </c>
      <c r="F5" s="10">
        <v>65</v>
      </c>
      <c r="G5" s="3" t="str">
        <f>HYPERLINK("https://www.janestreet.com/join-jane-street/open-roles/", "Apply / Careers ↗")</f>
        <v>Apply / Careers ↗</v>
      </c>
    </row>
    <row r="6" spans="1:7" ht="22.05" customHeight="1" x14ac:dyDescent="0.3">
      <c r="A6" s="11">
        <v>2</v>
      </c>
      <c r="B6" s="12" t="s">
        <v>12</v>
      </c>
      <c r="C6" s="13" t="s">
        <v>13</v>
      </c>
      <c r="D6" s="11" t="s">
        <v>14</v>
      </c>
      <c r="E6" s="14">
        <v>38</v>
      </c>
      <c r="F6" s="14">
        <v>52</v>
      </c>
      <c r="G6" s="2" t="str">
        <f>HYPERLINK("https://www.tower-research.com/open-positions", "Apply / Careers ↗")</f>
        <v>Apply / Careers ↗</v>
      </c>
    </row>
    <row r="7" spans="1:7" ht="22.05" customHeight="1" x14ac:dyDescent="0.3">
      <c r="A7" s="7">
        <v>3</v>
      </c>
      <c r="B7" s="8" t="s">
        <v>15</v>
      </c>
      <c r="C7" s="9" t="s">
        <v>16</v>
      </c>
      <c r="D7" s="7" t="s">
        <v>17</v>
      </c>
      <c r="E7" s="10">
        <v>36</v>
      </c>
      <c r="F7" s="10">
        <v>50</v>
      </c>
      <c r="G7" s="3" t="str">
        <f>HYPERLINK("https://gravitonresearch.com/careers/", "Apply / Careers ↗")</f>
        <v>Apply / Careers ↗</v>
      </c>
    </row>
    <row r="8" spans="1:7" ht="22.05" customHeight="1" x14ac:dyDescent="0.3">
      <c r="A8" s="11">
        <v>4</v>
      </c>
      <c r="B8" s="12" t="s">
        <v>18</v>
      </c>
      <c r="C8" s="13" t="s">
        <v>19</v>
      </c>
      <c r="D8" s="11" t="s">
        <v>20</v>
      </c>
      <c r="E8" s="14">
        <v>35</v>
      </c>
      <c r="F8" s="14">
        <v>48</v>
      </c>
      <c r="G8" s="2" t="str">
        <f>HYPERLINK("https://www.citadel.com/careers/open-roles/", "Apply / Careers ↗")</f>
        <v>Apply / Careers ↗</v>
      </c>
    </row>
    <row r="9" spans="1:7" ht="22.05" customHeight="1" x14ac:dyDescent="0.3">
      <c r="A9" s="7">
        <v>5</v>
      </c>
      <c r="B9" s="8" t="s">
        <v>21</v>
      </c>
      <c r="C9" s="9" t="s">
        <v>22</v>
      </c>
      <c r="D9" s="7" t="s">
        <v>23</v>
      </c>
      <c r="E9" s="10">
        <v>35</v>
      </c>
      <c r="F9" s="10">
        <v>48</v>
      </c>
      <c r="G9" s="3" t="str">
        <f>HYPERLINK("https://www.hudsonrivertrading.com/careers/", "Apply / Careers ↗")</f>
        <v>Apply / Careers ↗</v>
      </c>
    </row>
    <row r="10" spans="1:7" ht="22.05" customHeight="1" x14ac:dyDescent="0.3">
      <c r="A10" s="11">
        <v>6</v>
      </c>
      <c r="B10" s="12" t="s">
        <v>24</v>
      </c>
      <c r="C10" s="13" t="s">
        <v>25</v>
      </c>
      <c r="D10" s="11" t="s">
        <v>23</v>
      </c>
      <c r="E10" s="14">
        <v>34</v>
      </c>
      <c r="F10" s="14">
        <v>46</v>
      </c>
      <c r="G10" s="2" t="str">
        <f>HYPERLINK("https://www.jumptrading.com/careers/", "Apply / Careers ↗")</f>
        <v>Apply / Careers ↗</v>
      </c>
    </row>
    <row r="11" spans="1:7" ht="22.05" customHeight="1" x14ac:dyDescent="0.3">
      <c r="A11" s="7">
        <v>7</v>
      </c>
      <c r="B11" s="8" t="s">
        <v>26</v>
      </c>
      <c r="C11" s="9" t="s">
        <v>27</v>
      </c>
      <c r="D11" s="7" t="s">
        <v>28</v>
      </c>
      <c r="E11" s="10">
        <v>28</v>
      </c>
      <c r="F11" s="10">
        <v>38</v>
      </c>
      <c r="G11" s="3" t="str">
        <f>HYPERLINK("https://www.deshawindia.com/careers", "Apply / Careers ↗")</f>
        <v>Apply / Careers ↗</v>
      </c>
    </row>
    <row r="12" spans="1:7" ht="22.05" customHeight="1" x14ac:dyDescent="0.3">
      <c r="A12" s="11">
        <v>8</v>
      </c>
      <c r="B12" s="12" t="s">
        <v>29</v>
      </c>
      <c r="C12" s="13" t="s">
        <v>30</v>
      </c>
      <c r="D12" s="11" t="s">
        <v>31</v>
      </c>
      <c r="E12" s="14">
        <v>26</v>
      </c>
      <c r="F12" s="14">
        <v>36</v>
      </c>
      <c r="G12" s="2" t="str">
        <f>HYPERLINK("https://www.worldquant.com/careers/", "Apply / Careers ↗")</f>
        <v>Apply / Careers ↗</v>
      </c>
    </row>
    <row r="13" spans="1:7" ht="22.05" customHeight="1" x14ac:dyDescent="0.3">
      <c r="A13" s="7">
        <v>9</v>
      </c>
      <c r="B13" s="8" t="s">
        <v>32</v>
      </c>
      <c r="C13" s="9" t="s">
        <v>33</v>
      </c>
      <c r="D13" s="7" t="s">
        <v>31</v>
      </c>
      <c r="E13" s="10">
        <v>26</v>
      </c>
      <c r="F13" s="10">
        <v>36</v>
      </c>
      <c r="G13" s="3" t="str">
        <f>HYPERLINK("https://optiver.com/working-at-optiver/career-opportunities/", "Apply / Careers ↗")</f>
        <v>Apply / Careers ↗</v>
      </c>
    </row>
    <row r="14" spans="1:7" ht="22.05" customHeight="1" x14ac:dyDescent="0.3">
      <c r="A14" s="11">
        <v>10</v>
      </c>
      <c r="B14" s="12" t="s">
        <v>34</v>
      </c>
      <c r="C14" s="13" t="s">
        <v>35</v>
      </c>
      <c r="D14" s="11" t="s">
        <v>36</v>
      </c>
      <c r="E14" s="14">
        <v>22</v>
      </c>
      <c r="F14" s="14">
        <v>28</v>
      </c>
      <c r="G14" s="2" t="str">
        <f>HYPERLINK("https://www.metacareers.com/jobs", "Apply / Careers ↗")</f>
        <v>Apply / Careers ↗</v>
      </c>
    </row>
    <row r="15" spans="1:7" ht="22.05" customHeight="1" x14ac:dyDescent="0.3">
      <c r="A15" s="7">
        <v>11</v>
      </c>
      <c r="B15" s="8" t="s">
        <v>37</v>
      </c>
      <c r="C15" s="9" t="s">
        <v>38</v>
      </c>
      <c r="D15" s="7" t="s">
        <v>39</v>
      </c>
      <c r="E15" s="10">
        <v>20</v>
      </c>
      <c r="F15" s="10">
        <v>26</v>
      </c>
      <c r="G15" s="3" t="str">
        <f>HYPERLINK("https://www.google.com/about/careers/applications/jobs/results", "Apply / Careers ↗")</f>
        <v>Apply / Careers ↗</v>
      </c>
    </row>
    <row r="16" spans="1:7" ht="22.05" customHeight="1" x14ac:dyDescent="0.3">
      <c r="A16" s="11">
        <v>12</v>
      </c>
      <c r="B16" s="12" t="s">
        <v>40</v>
      </c>
      <c r="C16" s="13" t="s">
        <v>41</v>
      </c>
      <c r="D16" s="11" t="s">
        <v>42</v>
      </c>
      <c r="E16" s="14">
        <v>20</v>
      </c>
      <c r="F16" s="14">
        <v>25</v>
      </c>
      <c r="G16" s="2" t="str">
        <f>HYPERLINK("https://stripe.com/jobs/search", "Apply / Careers ↗")</f>
        <v>Apply / Careers ↗</v>
      </c>
    </row>
    <row r="17" spans="1:7" ht="22.05" customHeight="1" x14ac:dyDescent="0.3">
      <c r="A17" s="7">
        <v>13</v>
      </c>
      <c r="B17" s="8" t="s">
        <v>43</v>
      </c>
      <c r="C17" s="9" t="s">
        <v>44</v>
      </c>
      <c r="D17" s="7" t="s">
        <v>45</v>
      </c>
      <c r="E17" s="10">
        <v>18</v>
      </c>
      <c r="F17" s="10">
        <v>24</v>
      </c>
      <c r="G17" s="3" t="str">
        <f>HYPERLINK("https://www.atlassian.com/company/careers/all-jobs", "Apply / Careers ↗")</f>
        <v>Apply / Careers ↗</v>
      </c>
    </row>
    <row r="18" spans="1:7" ht="22.05" customHeight="1" x14ac:dyDescent="0.3">
      <c r="A18" s="11">
        <v>14</v>
      </c>
      <c r="B18" s="12" t="s">
        <v>46</v>
      </c>
      <c r="C18" s="13" t="s">
        <v>47</v>
      </c>
      <c r="D18" s="11" t="s">
        <v>48</v>
      </c>
      <c r="E18" s="14">
        <v>18</v>
      </c>
      <c r="F18" s="14">
        <v>23</v>
      </c>
      <c r="G18" s="2" t="str">
        <f>HYPERLINK("https://www.uber.com/us/en/careers/list/", "Apply / Careers ↗")</f>
        <v>Apply / Careers ↗</v>
      </c>
    </row>
    <row r="19" spans="1:7" ht="22.05" customHeight="1" x14ac:dyDescent="0.3">
      <c r="A19" s="7">
        <v>15</v>
      </c>
      <c r="B19" s="8" t="s">
        <v>49</v>
      </c>
      <c r="C19" s="9" t="s">
        <v>50</v>
      </c>
      <c r="D19" s="7" t="s">
        <v>48</v>
      </c>
      <c r="E19" s="10">
        <v>18</v>
      </c>
      <c r="F19" s="10">
        <v>23</v>
      </c>
      <c r="G19" s="3" t="str">
        <f>HYPERLINK("https://careers.snowflake.com/us/en/search-results", "Apply / Careers ↗")</f>
        <v>Apply / Careers ↗</v>
      </c>
    </row>
    <row r="20" spans="1:7" ht="22.05" customHeight="1" x14ac:dyDescent="0.3">
      <c r="A20" s="11">
        <v>16</v>
      </c>
      <c r="B20" s="12" t="s">
        <v>51</v>
      </c>
      <c r="C20" s="13" t="s">
        <v>52</v>
      </c>
      <c r="D20" s="11" t="s">
        <v>53</v>
      </c>
      <c r="E20" s="14">
        <v>18</v>
      </c>
      <c r="F20" s="14">
        <v>24</v>
      </c>
      <c r="G20" s="2" t="str">
        <f>HYPERLINK("https://www.databricks.com/company/careers", "Apply / Careers ↗")</f>
        <v>Apply / Careers ↗</v>
      </c>
    </row>
    <row r="21" spans="1:7" ht="22.05" customHeight="1" x14ac:dyDescent="0.3">
      <c r="A21" s="7">
        <v>17</v>
      </c>
      <c r="B21" s="8" t="s">
        <v>54</v>
      </c>
      <c r="C21" s="9" t="s">
        <v>55</v>
      </c>
      <c r="D21" s="7" t="s">
        <v>56</v>
      </c>
      <c r="E21" s="10">
        <v>16</v>
      </c>
      <c r="F21" s="10">
        <v>22</v>
      </c>
      <c r="G21" s="3" t="str">
        <f>HYPERLINK("https://careers.microsoft.com/professionals/us/en/search-results", "Apply / Careers ↗")</f>
        <v>Apply / Careers ↗</v>
      </c>
    </row>
    <row r="22" spans="1:7" ht="22.05" customHeight="1" x14ac:dyDescent="0.3">
      <c r="A22" s="11">
        <v>18</v>
      </c>
      <c r="B22" s="12" t="s">
        <v>57</v>
      </c>
      <c r="C22" s="13" t="s">
        <v>58</v>
      </c>
      <c r="D22" s="11" t="s">
        <v>59</v>
      </c>
      <c r="E22" s="14">
        <v>16</v>
      </c>
      <c r="F22" s="14">
        <v>21</v>
      </c>
      <c r="G22" s="2" t="str">
        <f>HYPERLINK("https://www.amazon.jobs/en/search", "Apply / Careers ↗")</f>
        <v>Apply / Careers ↗</v>
      </c>
    </row>
    <row r="23" spans="1:7" ht="22.05" customHeight="1" x14ac:dyDescent="0.3">
      <c r="A23" s="7">
        <v>19</v>
      </c>
      <c r="B23" s="8" t="s">
        <v>60</v>
      </c>
      <c r="C23" s="9" t="s">
        <v>61</v>
      </c>
      <c r="D23" s="7" t="s">
        <v>56</v>
      </c>
      <c r="E23" s="10">
        <v>16</v>
      </c>
      <c r="F23" s="10">
        <v>22</v>
      </c>
      <c r="G23" s="3" t="str">
        <f>HYPERLINK("https://jobs.apple.com/en-in/search", "Apply / Careers ↗")</f>
        <v>Apply / Careers ↗</v>
      </c>
    </row>
    <row r="24" spans="1:7" ht="22.05" customHeight="1" x14ac:dyDescent="0.3">
      <c r="A24" s="11">
        <v>20</v>
      </c>
      <c r="B24" s="12" t="s">
        <v>62</v>
      </c>
      <c r="C24" s="13" t="s">
        <v>63</v>
      </c>
      <c r="D24" s="11" t="s">
        <v>64</v>
      </c>
      <c r="E24" s="14">
        <v>16</v>
      </c>
      <c r="F24" s="14">
        <v>21</v>
      </c>
      <c r="G24" s="2" t="str">
        <f>HYPERLINK("https://www.linkedin.com/company/linkedin/jobs/", "Apply / Careers ↗")</f>
        <v>Apply / Careers ↗</v>
      </c>
    </row>
    <row r="25" spans="1:7" ht="22.05" customHeight="1" x14ac:dyDescent="0.3">
      <c r="A25" s="7">
        <v>21</v>
      </c>
      <c r="B25" s="8" t="s">
        <v>65</v>
      </c>
      <c r="C25" s="9" t="s">
        <v>66</v>
      </c>
      <c r="D25" s="7" t="s">
        <v>67</v>
      </c>
      <c r="E25" s="10">
        <v>15</v>
      </c>
      <c r="F25" s="10">
        <v>20</v>
      </c>
      <c r="G25" s="3" t="str">
        <f>HYPERLINK("https://jobs.intuit.com/search-jobs", "Apply / Careers ↗")</f>
        <v>Apply / Careers ↗</v>
      </c>
    </row>
    <row r="26" spans="1:7" ht="22.05" customHeight="1" x14ac:dyDescent="0.3">
      <c r="A26" s="11">
        <v>22</v>
      </c>
      <c r="B26" s="12" t="s">
        <v>68</v>
      </c>
      <c r="C26" s="13" t="s">
        <v>69</v>
      </c>
      <c r="D26" s="11" t="s">
        <v>70</v>
      </c>
      <c r="E26" s="14">
        <v>15</v>
      </c>
      <c r="F26" s="14">
        <v>21</v>
      </c>
      <c r="G26" s="2" t="str">
        <f>HYPERLINK("https://www.coinbase.com/careers/positions", "Apply / Careers ↗")</f>
        <v>Apply / Careers ↗</v>
      </c>
    </row>
    <row r="27" spans="1:7" ht="22.05" customHeight="1" x14ac:dyDescent="0.3">
      <c r="A27" s="7">
        <v>23</v>
      </c>
      <c r="B27" s="8" t="s">
        <v>71</v>
      </c>
      <c r="C27" s="9" t="s">
        <v>72</v>
      </c>
      <c r="D27" s="7" t="s">
        <v>73</v>
      </c>
      <c r="E27" s="10">
        <v>15</v>
      </c>
      <c r="F27" s="10">
        <v>20</v>
      </c>
      <c r="G27" s="3" t="str">
        <f>HYPERLINK("https://careers.adobe.com/us/en/search-results", "Apply / Careers ↗")</f>
        <v>Apply / Careers ↗</v>
      </c>
    </row>
    <row r="28" spans="1:7" ht="22.05" customHeight="1" x14ac:dyDescent="0.3">
      <c r="A28" s="11">
        <v>24</v>
      </c>
      <c r="B28" s="12" t="s">
        <v>74</v>
      </c>
      <c r="C28" s="13" t="s">
        <v>75</v>
      </c>
      <c r="D28" s="11" t="s">
        <v>76</v>
      </c>
      <c r="E28" s="14">
        <v>14</v>
      </c>
      <c r="F28" s="14">
        <v>20</v>
      </c>
      <c r="G28" s="2" t="str">
        <f>HYPERLINK("https://careers.cred.club/", "Apply / Careers ↗")</f>
        <v>Apply / Careers ↗</v>
      </c>
    </row>
    <row r="29" spans="1:7" ht="22.05" customHeight="1" x14ac:dyDescent="0.3">
      <c r="A29" s="7">
        <v>25</v>
      </c>
      <c r="B29" s="8" t="s">
        <v>77</v>
      </c>
      <c r="C29" s="9" t="s">
        <v>78</v>
      </c>
      <c r="D29" s="7" t="s">
        <v>79</v>
      </c>
      <c r="E29" s="10">
        <v>14</v>
      </c>
      <c r="F29" s="10">
        <v>19</v>
      </c>
      <c r="G29" s="3" t="str">
        <f>HYPERLINK("https://www.phonepe.com/careers/", "Apply / Careers ↗")</f>
        <v>Apply / Careers ↗</v>
      </c>
    </row>
    <row r="30" spans="1:7" ht="22.05" customHeight="1" x14ac:dyDescent="0.3">
      <c r="A30" s="11">
        <v>26</v>
      </c>
      <c r="B30" s="12" t="s">
        <v>80</v>
      </c>
      <c r="C30" s="13" t="s">
        <v>81</v>
      </c>
      <c r="D30" s="11" t="s">
        <v>79</v>
      </c>
      <c r="E30" s="14">
        <v>14</v>
      </c>
      <c r="F30" s="14">
        <v>19</v>
      </c>
      <c r="G30" s="2" t="str">
        <f>HYPERLINK("https://razorpay.com/jobs/", "Apply / Careers ↗")</f>
        <v>Apply / Careers ↗</v>
      </c>
    </row>
    <row r="31" spans="1:7" ht="22.05" customHeight="1" x14ac:dyDescent="0.3">
      <c r="A31" s="7">
        <v>27</v>
      </c>
      <c r="B31" s="8" t="s">
        <v>82</v>
      </c>
      <c r="C31" s="9" t="s">
        <v>83</v>
      </c>
      <c r="D31" s="7" t="s">
        <v>84</v>
      </c>
      <c r="E31" s="10">
        <v>13</v>
      </c>
      <c r="F31" s="10">
        <v>18</v>
      </c>
      <c r="G31" s="3" t="str">
        <f>HYPERLINK("https://careers.swiggy.com/", "Apply / Careers ↗")</f>
        <v>Apply / Careers ↗</v>
      </c>
    </row>
    <row r="32" spans="1:7" ht="22.05" customHeight="1" x14ac:dyDescent="0.3">
      <c r="A32" s="11">
        <v>28</v>
      </c>
      <c r="B32" s="12" t="s">
        <v>85</v>
      </c>
      <c r="C32" s="13" t="s">
        <v>86</v>
      </c>
      <c r="D32" s="11" t="s">
        <v>84</v>
      </c>
      <c r="E32" s="14">
        <v>13</v>
      </c>
      <c r="F32" s="14">
        <v>18</v>
      </c>
      <c r="G32" s="2" t="str">
        <f>HYPERLINK("https://www.flipkartcareers.com/", "Apply / Careers ↗")</f>
        <v>Apply / Careers ↗</v>
      </c>
    </row>
    <row r="33" spans="1:7" ht="22.05" customHeight="1" x14ac:dyDescent="0.3">
      <c r="A33" s="7">
        <v>29</v>
      </c>
      <c r="B33" s="8" t="s">
        <v>87</v>
      </c>
      <c r="C33" s="9" t="s">
        <v>88</v>
      </c>
      <c r="D33" s="7" t="s">
        <v>89</v>
      </c>
      <c r="E33" s="10">
        <v>13</v>
      </c>
      <c r="F33" s="10">
        <v>18</v>
      </c>
      <c r="G33" s="3" t="str">
        <f>HYPERLINK("https://www.zeptonow.com/careers", "Apply / Careers ↗")</f>
        <v>Apply / Careers ↗</v>
      </c>
    </row>
    <row r="34" spans="1:7" ht="22.05" customHeight="1" x14ac:dyDescent="0.3">
      <c r="A34" s="11">
        <v>30</v>
      </c>
      <c r="B34" s="12" t="s">
        <v>90</v>
      </c>
      <c r="C34" s="13" t="s">
        <v>91</v>
      </c>
      <c r="D34" s="11" t="s">
        <v>89</v>
      </c>
      <c r="E34" s="14">
        <v>13</v>
      </c>
      <c r="F34" s="14">
        <v>18</v>
      </c>
      <c r="G34" s="2" t="str">
        <f>HYPERLINK("https://www.zomato.com/careers", "Apply / Careers ↗")</f>
        <v>Apply / Careers ↗</v>
      </c>
    </row>
    <row r="35" spans="1:7" ht="22.05" customHeight="1" x14ac:dyDescent="0.3">
      <c r="A35" s="7">
        <v>31</v>
      </c>
      <c r="B35" s="8" t="s">
        <v>92</v>
      </c>
      <c r="C35" s="9" t="s">
        <v>93</v>
      </c>
      <c r="D35" s="7" t="s">
        <v>89</v>
      </c>
      <c r="E35" s="10">
        <v>13</v>
      </c>
      <c r="F35" s="10">
        <v>18</v>
      </c>
      <c r="G35" s="3" t="str">
        <f>HYPERLINK("https://careers.salesforce.com/en/jobs/", "Apply / Careers ↗")</f>
        <v>Apply / Careers ↗</v>
      </c>
    </row>
    <row r="36" spans="1:7" ht="22.05" customHeight="1" x14ac:dyDescent="0.3">
      <c r="A36" s="11">
        <v>32</v>
      </c>
      <c r="B36" s="12" t="s">
        <v>94</v>
      </c>
      <c r="C36" s="13" t="s">
        <v>95</v>
      </c>
      <c r="D36" s="11" t="s">
        <v>89</v>
      </c>
      <c r="E36" s="14">
        <v>13</v>
      </c>
      <c r="F36" s="14">
        <v>18</v>
      </c>
      <c r="G36" s="2" t="str">
        <f>HYPERLINK("https://careers.servicenow.com/", "Apply / Careers ↗")</f>
        <v>Apply / Careers ↗</v>
      </c>
    </row>
    <row r="37" spans="1:7" ht="22.05" customHeight="1" x14ac:dyDescent="0.3">
      <c r="A37" s="7">
        <v>33</v>
      </c>
      <c r="B37" s="8" t="s">
        <v>96</v>
      </c>
      <c r="C37" s="9" t="s">
        <v>97</v>
      </c>
      <c r="D37" s="7" t="s">
        <v>98</v>
      </c>
      <c r="E37" s="10">
        <v>13</v>
      </c>
      <c r="F37" s="10">
        <v>17.5</v>
      </c>
      <c r="G37" s="3" t="str">
        <f>HYPERLINK("https://jobs.paloaltonetworks.com/en/", "Apply / Careers ↗")</f>
        <v>Apply / Careers ↗</v>
      </c>
    </row>
    <row r="38" spans="1:7" ht="22.05" customHeight="1" x14ac:dyDescent="0.3">
      <c r="A38" s="11">
        <v>34</v>
      </c>
      <c r="B38" s="12" t="s">
        <v>99</v>
      </c>
      <c r="C38" s="13" t="s">
        <v>100</v>
      </c>
      <c r="D38" s="11" t="s">
        <v>101</v>
      </c>
      <c r="E38" s="14">
        <v>12.5</v>
      </c>
      <c r="F38" s="14">
        <v>17</v>
      </c>
      <c r="G38" s="2" t="str">
        <f>HYPERLINK("https://jobs.cisco.com/jobs/SearchJobs", "Apply / Careers ↗")</f>
        <v>Apply / Careers ↗</v>
      </c>
    </row>
    <row r="39" spans="1:7" ht="22.05" customHeight="1" x14ac:dyDescent="0.3">
      <c r="A39" s="7">
        <v>35</v>
      </c>
      <c r="B39" s="8" t="s">
        <v>102</v>
      </c>
      <c r="C39" s="9" t="s">
        <v>103</v>
      </c>
      <c r="D39" s="7" t="s">
        <v>104</v>
      </c>
      <c r="E39" s="10">
        <v>12.5</v>
      </c>
      <c r="F39" s="10">
        <v>18</v>
      </c>
      <c r="G39" s="3" t="str">
        <f>HYPERLINK("https://www.goldmansachs.com/careers/", "Apply / Careers ↗")</f>
        <v>Apply / Careers ↗</v>
      </c>
    </row>
    <row r="40" spans="1:7" ht="22.05" customHeight="1" x14ac:dyDescent="0.3">
      <c r="A40" s="11">
        <v>36</v>
      </c>
      <c r="B40" s="12" t="s">
        <v>105</v>
      </c>
      <c r="C40" s="13" t="s">
        <v>106</v>
      </c>
      <c r="D40" s="11" t="s">
        <v>107</v>
      </c>
      <c r="E40" s="14">
        <v>12</v>
      </c>
      <c r="F40" s="14">
        <v>17</v>
      </c>
      <c r="G40" s="2" t="str">
        <f>HYPERLINK("https://www.morganstanley.com/about-us/careers", "Apply / Careers ↗")</f>
        <v>Apply / Careers ↗</v>
      </c>
    </row>
    <row r="41" spans="1:7" ht="22.05" customHeight="1" x14ac:dyDescent="0.3">
      <c r="A41" s="7">
        <v>37</v>
      </c>
      <c r="B41" s="8" t="s">
        <v>108</v>
      </c>
      <c r="C41" s="9" t="s">
        <v>109</v>
      </c>
      <c r="D41" s="7" t="s">
        <v>110</v>
      </c>
      <c r="E41" s="10">
        <v>12</v>
      </c>
      <c r="F41" s="10">
        <v>16.5</v>
      </c>
      <c r="G41" s="3" t="str">
        <f>HYPERLINK("https://careers.jpmorgan.com/us/en/home", "Apply / Careers ↗")</f>
        <v>Apply / Careers ↗</v>
      </c>
    </row>
    <row r="42" spans="1:7" ht="22.05" customHeight="1" x14ac:dyDescent="0.3">
      <c r="A42" s="11">
        <v>38</v>
      </c>
      <c r="B42" s="12" t="s">
        <v>111</v>
      </c>
      <c r="C42" s="13" t="s">
        <v>112</v>
      </c>
      <c r="D42" s="11" t="s">
        <v>113</v>
      </c>
      <c r="E42" s="14">
        <v>11.5</v>
      </c>
      <c r="F42" s="14">
        <v>16</v>
      </c>
      <c r="G42" s="2" t="str">
        <f>HYPERLINK("https://search.jobs.barclays/", "Apply / Careers ↗")</f>
        <v>Apply / Careers ↗</v>
      </c>
    </row>
    <row r="43" spans="1:7" ht="22.05" customHeight="1" x14ac:dyDescent="0.3">
      <c r="A43" s="7">
        <v>39</v>
      </c>
      <c r="B43" s="8" t="s">
        <v>114</v>
      </c>
      <c r="C43" s="9" t="s">
        <v>115</v>
      </c>
      <c r="D43" s="7" t="s">
        <v>116</v>
      </c>
      <c r="E43" s="10">
        <v>11.5</v>
      </c>
      <c r="F43" s="10">
        <v>15.5</v>
      </c>
      <c r="G43" s="3" t="str">
        <f>HYPERLINK("https://aexp.eightfold.ai/careers", "Apply / Careers ↗")</f>
        <v>Apply / Careers ↗</v>
      </c>
    </row>
    <row r="44" spans="1:7" ht="22.05" customHeight="1" x14ac:dyDescent="0.3">
      <c r="A44" s="11">
        <v>40</v>
      </c>
      <c r="B44" s="12" t="s">
        <v>117</v>
      </c>
      <c r="C44" s="13" t="s">
        <v>118</v>
      </c>
      <c r="D44" s="11" t="s">
        <v>116</v>
      </c>
      <c r="E44" s="14">
        <v>11.5</v>
      </c>
      <c r="F44" s="14">
        <v>15.5</v>
      </c>
      <c r="G44" s="2" t="str">
        <f>HYPERLINK("https://paypal.eightfold.ai/careers", "Apply / Careers ↗")</f>
        <v>Apply / Careers ↗</v>
      </c>
    </row>
    <row r="45" spans="1:7" ht="22.05" customHeight="1" x14ac:dyDescent="0.3">
      <c r="A45" s="7">
        <v>41</v>
      </c>
      <c r="B45" s="8" t="s">
        <v>119</v>
      </c>
      <c r="C45" s="9" t="s">
        <v>120</v>
      </c>
      <c r="D45" s="7" t="s">
        <v>121</v>
      </c>
      <c r="E45" s="10">
        <v>11</v>
      </c>
      <c r="F45" s="10">
        <v>16</v>
      </c>
      <c r="G45" s="3" t="str">
        <f>HYPERLINK("https://www.meesho.io/jobs", "Apply / Careers ↗")</f>
        <v>Apply / Careers ↗</v>
      </c>
    </row>
    <row r="46" spans="1:7" ht="22.05" customHeight="1" x14ac:dyDescent="0.3">
      <c r="A46" s="11">
        <v>42</v>
      </c>
      <c r="B46" s="12" t="s">
        <v>122</v>
      </c>
      <c r="C46" s="13" t="s">
        <v>123</v>
      </c>
      <c r="D46" s="11" t="s">
        <v>124</v>
      </c>
      <c r="E46" s="14">
        <v>11</v>
      </c>
      <c r="F46" s="14">
        <v>15.5</v>
      </c>
      <c r="G46" s="2" t="str">
        <f>HYPERLINK("https://careers.urbancompany.com/", "Apply / Careers ↗")</f>
        <v>Apply / Careers ↗</v>
      </c>
    </row>
    <row r="47" spans="1:7" ht="22.05" customHeight="1" x14ac:dyDescent="0.3">
      <c r="A47" s="7">
        <v>43</v>
      </c>
      <c r="B47" s="8" t="s">
        <v>125</v>
      </c>
      <c r="C47" s="9" t="s">
        <v>126</v>
      </c>
      <c r="D47" s="7" t="s">
        <v>124</v>
      </c>
      <c r="E47" s="10">
        <v>11</v>
      </c>
      <c r="F47" s="10">
        <v>15.5</v>
      </c>
      <c r="G47" s="3" t="str">
        <f>HYPERLINK("https://groww.in/careers", "Apply / Careers ↗")</f>
        <v>Apply / Careers ↗</v>
      </c>
    </row>
    <row r="48" spans="1:7" ht="22.05" customHeight="1" x14ac:dyDescent="0.3">
      <c r="A48" s="11">
        <v>44</v>
      </c>
      <c r="B48" s="12" t="s">
        <v>127</v>
      </c>
      <c r="C48" s="13" t="s">
        <v>128</v>
      </c>
      <c r="D48" s="11" t="s">
        <v>129</v>
      </c>
      <c r="E48" s="14">
        <v>11</v>
      </c>
      <c r="F48" s="14">
        <v>16</v>
      </c>
      <c r="G48" s="2" t="str">
        <f>HYPERLINK("https://zerodha.com/careers", "Apply / Careers ↗")</f>
        <v>Apply / Careers ↗</v>
      </c>
    </row>
    <row r="49" spans="1:7" ht="22.05" customHeight="1" x14ac:dyDescent="0.3">
      <c r="A49" s="7">
        <v>45</v>
      </c>
      <c r="B49" s="8" t="s">
        <v>130</v>
      </c>
      <c r="C49" s="9" t="s">
        <v>131</v>
      </c>
      <c r="D49" s="7" t="s">
        <v>129</v>
      </c>
      <c r="E49" s="10">
        <v>10.5</v>
      </c>
      <c r="F49" s="10">
        <v>15</v>
      </c>
      <c r="G49" s="3" t="str">
        <f>HYPERLINK("https://www.olacabs.com/careers", "Apply / Careers ↗")</f>
        <v>Apply / Careers ↗</v>
      </c>
    </row>
    <row r="50" spans="1:7" ht="22.05" customHeight="1" x14ac:dyDescent="0.3">
      <c r="A50" s="11">
        <v>46</v>
      </c>
      <c r="B50" s="12" t="s">
        <v>132</v>
      </c>
      <c r="C50" s="13" t="s">
        <v>133</v>
      </c>
      <c r="D50" s="11" t="s">
        <v>129</v>
      </c>
      <c r="E50" s="14">
        <v>10.5</v>
      </c>
      <c r="F50" s="14">
        <v>15</v>
      </c>
      <c r="G50" s="2" t="str">
        <f>HYPERLINK("https://careers.makemytrip.com/", "Apply / Careers ↗")</f>
        <v>Apply / Careers ↗</v>
      </c>
    </row>
    <row r="51" spans="1:7" ht="22.05" customHeight="1" x14ac:dyDescent="0.3">
      <c r="A51" s="7">
        <v>47</v>
      </c>
      <c r="B51" s="8" t="s">
        <v>134</v>
      </c>
      <c r="C51" s="9" t="s">
        <v>135</v>
      </c>
      <c r="D51" s="7" t="s">
        <v>136</v>
      </c>
      <c r="E51" s="10">
        <v>10.5</v>
      </c>
      <c r="F51" s="10">
        <v>14.5</v>
      </c>
      <c r="G51" s="3" t="str">
        <f>HYPERLINK("https://www.nykaa.com/careers", "Apply / Careers ↗")</f>
        <v>Apply / Careers ↗</v>
      </c>
    </row>
    <row r="52" spans="1:7" ht="22.05" customHeight="1" x14ac:dyDescent="0.3">
      <c r="A52" s="11">
        <v>48</v>
      </c>
      <c r="B52" s="12" t="s">
        <v>137</v>
      </c>
      <c r="C52" s="13" t="s">
        <v>138</v>
      </c>
      <c r="D52" s="11" t="s">
        <v>129</v>
      </c>
      <c r="E52" s="14">
        <v>10.5</v>
      </c>
      <c r="F52" s="14">
        <v>15</v>
      </c>
      <c r="G52" s="2" t="str">
        <f>HYPERLINK("https://about.dream11.in/careers", "Apply / Careers ↗")</f>
        <v>Apply / Careers ↗</v>
      </c>
    </row>
    <row r="53" spans="1:7" ht="22.05" customHeight="1" x14ac:dyDescent="0.3">
      <c r="A53" s="7">
        <v>49</v>
      </c>
      <c r="B53" s="8" t="s">
        <v>139</v>
      </c>
      <c r="C53" s="9" t="s">
        <v>140</v>
      </c>
      <c r="D53" s="7" t="s">
        <v>141</v>
      </c>
      <c r="E53" s="10">
        <v>10.5</v>
      </c>
      <c r="F53" s="10">
        <v>15</v>
      </c>
      <c r="G53" s="3" t="str">
        <f>HYPERLINK("https://www.browserstack.com/careers", "Apply / Careers ↗")</f>
        <v>Apply / Careers ↗</v>
      </c>
    </row>
    <row r="54" spans="1:7" ht="22.05" customHeight="1" x14ac:dyDescent="0.3">
      <c r="A54" s="11">
        <v>50</v>
      </c>
      <c r="B54" s="12" t="s">
        <v>142</v>
      </c>
      <c r="C54" s="13" t="s">
        <v>143</v>
      </c>
      <c r="D54" s="11" t="s">
        <v>129</v>
      </c>
      <c r="E54" s="14">
        <v>10.5</v>
      </c>
      <c r="F54" s="14">
        <v>15</v>
      </c>
      <c r="G54" s="2" t="str">
        <f>HYPERLINK("https://www.postman.com/company/careers/", "Apply / Careers ↗")</f>
        <v>Apply / Careers ↗</v>
      </c>
    </row>
    <row r="55" spans="1:7" ht="22.05" customHeight="1" x14ac:dyDescent="0.3">
      <c r="A55" s="7">
        <v>51</v>
      </c>
      <c r="B55" s="8" t="s">
        <v>144</v>
      </c>
      <c r="C55" s="9" t="s">
        <v>145</v>
      </c>
      <c r="D55" s="7" t="s">
        <v>146</v>
      </c>
      <c r="E55" s="10">
        <v>10</v>
      </c>
      <c r="F55" s="10">
        <v>14.5</v>
      </c>
      <c r="G55" s="3" t="str">
        <f>HYPERLINK("https://www.freshworks.com/company/careers/", "Apply / Careers ↗")</f>
        <v>Apply / Careers ↗</v>
      </c>
    </row>
    <row r="56" spans="1:7" ht="22.05" customHeight="1" x14ac:dyDescent="0.3">
      <c r="A56" s="11">
        <v>52</v>
      </c>
      <c r="B56" s="12" t="s">
        <v>147</v>
      </c>
      <c r="C56" s="13" t="s">
        <v>148</v>
      </c>
      <c r="D56" s="11" t="s">
        <v>146</v>
      </c>
      <c r="E56" s="14">
        <v>10</v>
      </c>
      <c r="F56" s="14">
        <v>14.5</v>
      </c>
      <c r="G56" s="2" t="str">
        <f>HYPERLINK("https://www.inmobi.com/company/careers/", "Apply / Careers ↗")</f>
        <v>Apply / Careers ↗</v>
      </c>
    </row>
    <row r="57" spans="1:7" ht="22.05" customHeight="1" x14ac:dyDescent="0.3">
      <c r="A57" s="7">
        <v>53</v>
      </c>
      <c r="B57" s="8" t="s">
        <v>149</v>
      </c>
      <c r="C57" s="9" t="s">
        <v>150</v>
      </c>
      <c r="D57" s="7" t="s">
        <v>151</v>
      </c>
      <c r="E57" s="10">
        <v>9.5</v>
      </c>
      <c r="F57" s="10">
        <v>14</v>
      </c>
      <c r="G57" s="3" t="str">
        <f>HYPERLINK("https://jobs.lever.co/paytm", "Apply / Careers ↗")</f>
        <v>Apply / Careers ↗</v>
      </c>
    </row>
    <row r="58" spans="1:7" ht="22.05" customHeight="1" x14ac:dyDescent="0.3">
      <c r="A58" s="11">
        <v>54</v>
      </c>
      <c r="B58" s="12" t="s">
        <v>152</v>
      </c>
      <c r="C58" s="13" t="s">
        <v>153</v>
      </c>
      <c r="D58" s="11" t="s">
        <v>151</v>
      </c>
      <c r="E58" s="14">
        <v>9.5</v>
      </c>
      <c r="F58" s="14">
        <v>14</v>
      </c>
      <c r="G58" s="2" t="str">
        <f>HYPERLINK("https://www.policybazaar.com/careers/", "Apply / Careers ↗")</f>
        <v>Apply / Careers ↗</v>
      </c>
    </row>
    <row r="59" spans="1:7" ht="22.05" customHeight="1" x14ac:dyDescent="0.3">
      <c r="A59" s="7">
        <v>55</v>
      </c>
      <c r="B59" s="8" t="s">
        <v>154</v>
      </c>
      <c r="C59" s="9" t="s">
        <v>155</v>
      </c>
      <c r="D59" s="7" t="s">
        <v>151</v>
      </c>
      <c r="E59" s="10">
        <v>9.5</v>
      </c>
      <c r="F59" s="10">
        <v>14</v>
      </c>
      <c r="G59" s="3" t="str">
        <f>HYPERLINK("https://www.delhivery.com/careers/", "Apply / Careers ↗")</f>
        <v>Apply / Careers ↗</v>
      </c>
    </row>
    <row r="60" spans="1:7" ht="22.05" customHeight="1" x14ac:dyDescent="0.3">
      <c r="A60" s="11">
        <v>56</v>
      </c>
      <c r="B60" s="12" t="s">
        <v>156</v>
      </c>
      <c r="C60" s="13" t="s">
        <v>157</v>
      </c>
      <c r="D60" s="11" t="s">
        <v>151</v>
      </c>
      <c r="E60" s="14">
        <v>9.5</v>
      </c>
      <c r="F60" s="14">
        <v>14</v>
      </c>
      <c r="G60" s="2" t="str">
        <f>HYPERLINK("https://www.cars24.com/careers/", "Apply / Careers ↗")</f>
        <v>Apply / Careers ↗</v>
      </c>
    </row>
    <row r="61" spans="1:7" ht="22.05" customHeight="1" x14ac:dyDescent="0.3">
      <c r="A61" s="7">
        <v>57</v>
      </c>
      <c r="B61" s="8" t="s">
        <v>158</v>
      </c>
      <c r="C61" s="9" t="s">
        <v>159</v>
      </c>
      <c r="D61" s="7" t="s">
        <v>160</v>
      </c>
      <c r="E61" s="10">
        <v>9</v>
      </c>
      <c r="F61" s="10">
        <v>13.5</v>
      </c>
      <c r="G61" s="3" t="str">
        <f>HYPERLINK("https://www.spinny.com/careers/", "Apply / Careers ↗")</f>
        <v>Apply / Careers ↗</v>
      </c>
    </row>
    <row r="62" spans="1:7" ht="22.05" customHeight="1" x14ac:dyDescent="0.3">
      <c r="A62" s="11">
        <v>58</v>
      </c>
      <c r="B62" s="12" t="s">
        <v>161</v>
      </c>
      <c r="C62" s="13" t="s">
        <v>162</v>
      </c>
      <c r="D62" s="11" t="s">
        <v>151</v>
      </c>
      <c r="E62" s="14">
        <v>9.5</v>
      </c>
      <c r="F62" s="14">
        <v>14</v>
      </c>
      <c r="G62" s="2" t="str">
        <f>HYPERLINK("https://careers.blackrock.com/", "Apply / Careers ↗")</f>
        <v>Apply / Careers ↗</v>
      </c>
    </row>
    <row r="63" spans="1:7" ht="22.05" customHeight="1" x14ac:dyDescent="0.3">
      <c r="A63" s="7">
        <v>59</v>
      </c>
      <c r="B63" s="8" t="s">
        <v>163</v>
      </c>
      <c r="C63" s="9" t="s">
        <v>164</v>
      </c>
      <c r="D63" s="7" t="s">
        <v>160</v>
      </c>
      <c r="E63" s="10">
        <v>9</v>
      </c>
      <c r="F63" s="10">
        <v>13.5</v>
      </c>
      <c r="G63" s="3" t="str">
        <f>HYPERLINK("https://www.statestreet.com/careers.html", "Apply / Careers ↗")</f>
        <v>Apply / Careers ↗</v>
      </c>
    </row>
    <row r="64" spans="1:7" ht="22.05" customHeight="1" x14ac:dyDescent="0.3">
      <c r="A64" s="11">
        <v>60</v>
      </c>
      <c r="B64" s="12" t="s">
        <v>165</v>
      </c>
      <c r="C64" s="13" t="s">
        <v>166</v>
      </c>
      <c r="D64" s="11" t="s">
        <v>151</v>
      </c>
      <c r="E64" s="14">
        <v>9.5</v>
      </c>
      <c r="F64" s="14">
        <v>14</v>
      </c>
      <c r="G64" s="2" t="str">
        <f>HYPERLINK("https://jobs.citi.com/", "Apply / Careers ↗")</f>
        <v>Apply / Careers ↗</v>
      </c>
    </row>
    <row r="65" spans="1:7" ht="22.05" customHeight="1" x14ac:dyDescent="0.3">
      <c r="A65" s="7">
        <v>61</v>
      </c>
      <c r="B65" s="8" t="s">
        <v>167</v>
      </c>
      <c r="C65" s="9" t="s">
        <v>168</v>
      </c>
      <c r="D65" s="7" t="s">
        <v>160</v>
      </c>
      <c r="E65" s="10">
        <v>9</v>
      </c>
      <c r="F65" s="10">
        <v>13.5</v>
      </c>
      <c r="G65" s="3" t="str">
        <f>HYPERLINK("https://mycareer.hsbc.com/en_GB/external", "Apply / Careers ↗")</f>
        <v>Apply / Careers ↗</v>
      </c>
    </row>
    <row r="66" spans="1:7" ht="22.05" customHeight="1" x14ac:dyDescent="0.3">
      <c r="A66" s="11">
        <v>62</v>
      </c>
      <c r="B66" s="12" t="s">
        <v>169</v>
      </c>
      <c r="C66" s="13" t="s">
        <v>170</v>
      </c>
      <c r="D66" s="11" t="s">
        <v>171</v>
      </c>
      <c r="E66" s="14">
        <v>9</v>
      </c>
      <c r="F66" s="14">
        <v>13</v>
      </c>
      <c r="G66" s="2" t="str">
        <f>HYPERLINK("https://www.sc.com/en/careers/", "Apply / Careers ↗")</f>
        <v>Apply / Careers ↗</v>
      </c>
    </row>
    <row r="67" spans="1:7" ht="22.05" customHeight="1" x14ac:dyDescent="0.3">
      <c r="A67" s="7">
        <v>63</v>
      </c>
      <c r="B67" s="8" t="s">
        <v>172</v>
      </c>
      <c r="C67" s="9" t="s">
        <v>173</v>
      </c>
      <c r="D67" s="7" t="s">
        <v>171</v>
      </c>
      <c r="E67" s="10">
        <v>9</v>
      </c>
      <c r="F67" s="10">
        <v>13</v>
      </c>
      <c r="G67" s="3" t="str">
        <f>HYPERLINK("https://careers.db.com/", "Apply / Careers ↗")</f>
        <v>Apply / Careers ↗</v>
      </c>
    </row>
    <row r="68" spans="1:7" ht="22.05" customHeight="1" x14ac:dyDescent="0.3">
      <c r="A68" s="11">
        <v>64</v>
      </c>
      <c r="B68" s="12" t="s">
        <v>174</v>
      </c>
      <c r="C68" s="13" t="s">
        <v>175</v>
      </c>
      <c r="D68" s="11" t="s">
        <v>171</v>
      </c>
      <c r="E68" s="14">
        <v>9</v>
      </c>
      <c r="F68" s="14">
        <v>13</v>
      </c>
      <c r="G68" s="2" t="str">
        <f>HYPERLINK("https://jobs.ubs.com/", "Apply / Careers ↗")</f>
        <v>Apply / Careers ↗</v>
      </c>
    </row>
    <row r="69" spans="1:7" ht="22.05" customHeight="1" x14ac:dyDescent="0.3">
      <c r="A69" s="7">
        <v>65</v>
      </c>
      <c r="B69" s="8" t="s">
        <v>176</v>
      </c>
      <c r="C69" s="9" t="s">
        <v>177</v>
      </c>
      <c r="D69" s="7" t="s">
        <v>178</v>
      </c>
      <c r="E69" s="10">
        <v>8.8000000000000007</v>
      </c>
      <c r="F69" s="10">
        <v>12.8</v>
      </c>
      <c r="G69" s="3" t="str">
        <f>HYPERLINK("https://group.bnpparibas/en/careers", "Apply / Careers ↗")</f>
        <v>Apply / Careers ↗</v>
      </c>
    </row>
    <row r="70" spans="1:7" ht="22.05" customHeight="1" x14ac:dyDescent="0.3">
      <c r="A70" s="11">
        <v>66</v>
      </c>
      <c r="B70" s="12" t="s">
        <v>179</v>
      </c>
      <c r="C70" s="13" t="s">
        <v>180</v>
      </c>
      <c r="D70" s="11" t="s">
        <v>171</v>
      </c>
      <c r="E70" s="14">
        <v>9</v>
      </c>
      <c r="F70" s="14">
        <v>13</v>
      </c>
      <c r="G70" s="2" t="str">
        <f>HYPERLINK("https://www.wellsfargojobs.com/", "Apply / Careers ↗")</f>
        <v>Apply / Careers ↗</v>
      </c>
    </row>
    <row r="71" spans="1:7" ht="22.05" customHeight="1" x14ac:dyDescent="0.3">
      <c r="A71" s="7">
        <v>67</v>
      </c>
      <c r="B71" s="8" t="s">
        <v>181</v>
      </c>
      <c r="C71" s="9" t="s">
        <v>182</v>
      </c>
      <c r="D71" s="7" t="s">
        <v>171</v>
      </c>
      <c r="E71" s="10">
        <v>9</v>
      </c>
      <c r="F71" s="10">
        <v>13</v>
      </c>
      <c r="G71" s="3" t="str">
        <f>HYPERLINK("https://business.bofa.com/en-us/content/careers.html", "Apply / Careers ↗")</f>
        <v>Apply / Careers ↗</v>
      </c>
    </row>
    <row r="72" spans="1:7" ht="22.05" customHeight="1" x14ac:dyDescent="0.3">
      <c r="A72" s="11">
        <v>68</v>
      </c>
      <c r="B72" s="12" t="s">
        <v>183</v>
      </c>
      <c r="C72" s="13" t="s">
        <v>184</v>
      </c>
      <c r="D72" s="11" t="s">
        <v>151</v>
      </c>
      <c r="E72" s="14">
        <v>9.5</v>
      </c>
      <c r="F72" s="14">
        <v>14</v>
      </c>
      <c r="G72" s="2" t="str">
        <f>HYPERLINK("https://mastercard.eightfold.ai/careers", "Apply / Careers ↗")</f>
        <v>Apply / Careers ↗</v>
      </c>
    </row>
    <row r="73" spans="1:7" ht="22.05" customHeight="1" x14ac:dyDescent="0.3">
      <c r="A73" s="7">
        <v>69</v>
      </c>
      <c r="B73" s="8" t="s">
        <v>185</v>
      </c>
      <c r="C73" s="9" t="s">
        <v>186</v>
      </c>
      <c r="D73" s="7" t="s">
        <v>151</v>
      </c>
      <c r="E73" s="10">
        <v>9.5</v>
      </c>
      <c r="F73" s="10">
        <v>14</v>
      </c>
      <c r="G73" s="3" t="str">
        <f>HYPERLINK("https://www.visa.com.sg/about-visa/careers.html", "Apply / Careers ↗")</f>
        <v>Apply / Careers ↗</v>
      </c>
    </row>
    <row r="74" spans="1:7" ht="22.05" customHeight="1" x14ac:dyDescent="0.3">
      <c r="A74" s="11">
        <v>70</v>
      </c>
      <c r="B74" s="12" t="s">
        <v>187</v>
      </c>
      <c r="C74" s="13" t="s">
        <v>188</v>
      </c>
      <c r="D74" s="11" t="s">
        <v>171</v>
      </c>
      <c r="E74" s="14">
        <v>9</v>
      </c>
      <c r="F74" s="14">
        <v>13</v>
      </c>
      <c r="G74" s="2" t="str">
        <f>HYPERLINK("https://jobs.fidelity.com/", "Apply / Careers ↗")</f>
        <v>Apply / Careers ↗</v>
      </c>
    </row>
    <row r="75" spans="1:7" ht="22.05" customHeight="1" x14ac:dyDescent="0.3">
      <c r="A75" s="7">
        <v>71</v>
      </c>
      <c r="B75" s="8" t="s">
        <v>189</v>
      </c>
      <c r="C75" s="9" t="s">
        <v>190</v>
      </c>
      <c r="D75" s="7" t="s">
        <v>178</v>
      </c>
      <c r="E75" s="10">
        <v>8.8000000000000007</v>
      </c>
      <c r="F75" s="10">
        <v>12.8</v>
      </c>
      <c r="G75" s="3" t="str">
        <f>HYPERLINK("https://india.target.com/careers/", "Apply / Careers ↗")</f>
        <v>Apply / Careers ↗</v>
      </c>
    </row>
    <row r="76" spans="1:7" ht="22.05" customHeight="1" x14ac:dyDescent="0.3">
      <c r="A76" s="11">
        <v>72</v>
      </c>
      <c r="B76" s="12" t="s">
        <v>191</v>
      </c>
      <c r="C76" s="13" t="s">
        <v>192</v>
      </c>
      <c r="D76" s="11" t="s">
        <v>151</v>
      </c>
      <c r="E76" s="14">
        <v>9.5</v>
      </c>
      <c r="F76" s="14">
        <v>14</v>
      </c>
      <c r="G76" s="2" t="str">
        <f>HYPERLINK("https://careers.walmart.com/", "Apply / Careers ↗")</f>
        <v>Apply / Careers ↗</v>
      </c>
    </row>
    <row r="77" spans="1:7" ht="22.05" customHeight="1" x14ac:dyDescent="0.3">
      <c r="A77" s="7">
        <v>73</v>
      </c>
      <c r="B77" s="8" t="s">
        <v>193</v>
      </c>
      <c r="C77" s="9" t="s">
        <v>194</v>
      </c>
      <c r="D77" s="7" t="s">
        <v>178</v>
      </c>
      <c r="E77" s="10">
        <v>8.8000000000000007</v>
      </c>
      <c r="F77" s="10">
        <v>12.8</v>
      </c>
      <c r="G77" s="3" t="str">
        <f>HYPERLINK("https://www.tesco-careers.com/bengaluru/", "Apply / Careers ↗")</f>
        <v>Apply / Careers ↗</v>
      </c>
    </row>
    <row r="78" spans="1:7" ht="22.05" customHeight="1" x14ac:dyDescent="0.3">
      <c r="A78" s="11">
        <v>74</v>
      </c>
      <c r="B78" s="12" t="s">
        <v>195</v>
      </c>
      <c r="C78" s="13" t="s">
        <v>196</v>
      </c>
      <c r="D78" s="11" t="s">
        <v>178</v>
      </c>
      <c r="E78" s="14">
        <v>8.8000000000000007</v>
      </c>
      <c r="F78" s="14">
        <v>12.8</v>
      </c>
      <c r="G78" s="2" t="str">
        <f>HYPERLINK("https://careers.homedepot.com/", "Apply / Careers ↗")</f>
        <v>Apply / Careers ↗</v>
      </c>
    </row>
    <row r="79" spans="1:7" ht="22.05" customHeight="1" x14ac:dyDescent="0.3">
      <c r="A79" s="7">
        <v>75</v>
      </c>
      <c r="B79" s="8" t="s">
        <v>197</v>
      </c>
      <c r="C79" s="9" t="s">
        <v>198</v>
      </c>
      <c r="D79" s="7" t="s">
        <v>178</v>
      </c>
      <c r="E79" s="10">
        <v>8.8000000000000007</v>
      </c>
      <c r="F79" s="10">
        <v>12.8</v>
      </c>
      <c r="G79" s="3" t="str">
        <f>HYPERLINK("https://jobs.lowes.com/lowes-india", "Apply / Careers ↗")</f>
        <v>Apply / Careers ↗</v>
      </c>
    </row>
    <row r="80" spans="1:7" ht="22.05" customHeight="1" x14ac:dyDescent="0.3">
      <c r="A80" s="11">
        <v>76</v>
      </c>
      <c r="B80" s="12" t="s">
        <v>199</v>
      </c>
      <c r="C80" s="13" t="s">
        <v>200</v>
      </c>
      <c r="D80" s="11" t="s">
        <v>113</v>
      </c>
      <c r="E80" s="14">
        <v>11</v>
      </c>
      <c r="F80" s="14">
        <v>16</v>
      </c>
      <c r="G80" s="2" t="str">
        <f>HYPERLINK("https://www.amazon.jobs/en/teams/aws", "Apply / Careers ↗")</f>
        <v>Apply / Careers ↗</v>
      </c>
    </row>
    <row r="81" spans="1:7" ht="22.05" customHeight="1" x14ac:dyDescent="0.3">
      <c r="A81" s="7">
        <v>77</v>
      </c>
      <c r="B81" s="8" t="s">
        <v>201</v>
      </c>
      <c r="C81" s="9" t="s">
        <v>202</v>
      </c>
      <c r="D81" s="7" t="s">
        <v>171</v>
      </c>
      <c r="E81" s="10">
        <v>9</v>
      </c>
      <c r="F81" s="10">
        <v>13</v>
      </c>
      <c r="G81" s="3" t="str">
        <f>HYPERLINK("https://www.oracle.com/corporate/careers/", "Apply / Careers ↗")</f>
        <v>Apply / Careers ↗</v>
      </c>
    </row>
    <row r="82" spans="1:7" ht="22.05" customHeight="1" x14ac:dyDescent="0.3">
      <c r="A82" s="11">
        <v>78</v>
      </c>
      <c r="B82" s="12" t="s">
        <v>203</v>
      </c>
      <c r="C82" s="13" t="s">
        <v>204</v>
      </c>
      <c r="D82" s="11" t="s">
        <v>171</v>
      </c>
      <c r="E82" s="14">
        <v>9</v>
      </c>
      <c r="F82" s="14">
        <v>13</v>
      </c>
      <c r="G82" s="2" t="str">
        <f>HYPERLINK("https://jobs.sap.com/", "Apply / Careers ↗")</f>
        <v>Apply / Careers ↗</v>
      </c>
    </row>
    <row r="83" spans="1:7" ht="22.05" customHeight="1" x14ac:dyDescent="0.3">
      <c r="A83" s="7">
        <v>79</v>
      </c>
      <c r="B83" s="8" t="s">
        <v>205</v>
      </c>
      <c r="C83" s="9" t="s">
        <v>206</v>
      </c>
      <c r="D83" s="7" t="s">
        <v>151</v>
      </c>
      <c r="E83" s="10">
        <v>9.5</v>
      </c>
      <c r="F83" s="10">
        <v>14</v>
      </c>
      <c r="G83" s="3" t="str">
        <f>HYPERLINK("https://careers.broadcom.com/", "Apply / Careers ↗")</f>
        <v>Apply / Careers ↗</v>
      </c>
    </row>
    <row r="84" spans="1:7" ht="22.05" customHeight="1" x14ac:dyDescent="0.3">
      <c r="A84" s="11">
        <v>80</v>
      </c>
      <c r="B84" s="12" t="s">
        <v>207</v>
      </c>
      <c r="C84" s="13" t="s">
        <v>208</v>
      </c>
      <c r="D84" s="11" t="s">
        <v>209</v>
      </c>
      <c r="E84" s="14">
        <v>8.8000000000000007</v>
      </c>
      <c r="F84" s="14">
        <v>12.5</v>
      </c>
      <c r="G84" s="2" t="str">
        <f>HYPERLINK("https://jobs.dell.com/", "Apply / Careers ↗")</f>
        <v>Apply / Careers ↗</v>
      </c>
    </row>
    <row r="85" spans="1:7" ht="22.05" customHeight="1" x14ac:dyDescent="0.3">
      <c r="A85" s="7">
        <v>81</v>
      </c>
      <c r="B85" s="8" t="s">
        <v>210</v>
      </c>
      <c r="C85" s="9" t="s">
        <v>211</v>
      </c>
      <c r="D85" s="7" t="s">
        <v>209</v>
      </c>
      <c r="E85" s="10">
        <v>8.8000000000000007</v>
      </c>
      <c r="F85" s="10">
        <v>12.5</v>
      </c>
      <c r="G85" s="3" t="str">
        <f>HYPERLINK("https://careers.hpe.com/", "Apply / Careers ↗")</f>
        <v>Apply / Careers ↗</v>
      </c>
    </row>
    <row r="86" spans="1:7" ht="22.05" customHeight="1" x14ac:dyDescent="0.3">
      <c r="A86" s="11">
        <v>82</v>
      </c>
      <c r="B86" s="12" t="s">
        <v>212</v>
      </c>
      <c r="C86" s="13" t="s">
        <v>213</v>
      </c>
      <c r="D86" s="11" t="s">
        <v>171</v>
      </c>
      <c r="E86" s="14">
        <v>9</v>
      </c>
      <c r="F86" s="14">
        <v>13</v>
      </c>
      <c r="G86" s="2" t="str">
        <f>HYPERLINK("https://jobs.intel.com/", "Apply / Careers ↗")</f>
        <v>Apply / Careers ↗</v>
      </c>
    </row>
    <row r="87" spans="1:7" ht="22.05" customHeight="1" x14ac:dyDescent="0.3">
      <c r="A87" s="7">
        <v>83</v>
      </c>
      <c r="B87" s="8" t="s">
        <v>214</v>
      </c>
      <c r="C87" s="9" t="s">
        <v>215</v>
      </c>
      <c r="D87" s="7" t="s">
        <v>171</v>
      </c>
      <c r="E87" s="10">
        <v>9</v>
      </c>
      <c r="F87" s="10">
        <v>13</v>
      </c>
      <c r="G87" s="3" t="str">
        <f>HYPERLINK("https://www.qualcomm.com/company/careers", "Apply / Careers ↗")</f>
        <v>Apply / Careers ↗</v>
      </c>
    </row>
    <row r="88" spans="1:7" ht="22.05" customHeight="1" x14ac:dyDescent="0.3">
      <c r="A88" s="11">
        <v>84</v>
      </c>
      <c r="B88" s="12" t="s">
        <v>216</v>
      </c>
      <c r="C88" s="13" t="s">
        <v>217</v>
      </c>
      <c r="D88" s="11" t="s">
        <v>218</v>
      </c>
      <c r="E88" s="14">
        <v>11</v>
      </c>
      <c r="F88" s="14">
        <v>16.5</v>
      </c>
      <c r="G88" s="2" t="str">
        <f>HYPERLINK("https://www.nvidia.com/en-us/about-nvidia/careers/", "Apply / Careers ↗")</f>
        <v>Apply / Careers ↗</v>
      </c>
    </row>
    <row r="89" spans="1:7" ht="22.05" customHeight="1" x14ac:dyDescent="0.3">
      <c r="A89" s="7">
        <v>85</v>
      </c>
      <c r="B89" s="8" t="s">
        <v>219</v>
      </c>
      <c r="C89" s="9" t="s">
        <v>220</v>
      </c>
      <c r="D89" s="7" t="s">
        <v>178</v>
      </c>
      <c r="E89" s="10">
        <v>8.8000000000000007</v>
      </c>
      <c r="F89" s="10">
        <v>12.8</v>
      </c>
      <c r="G89" s="3" t="str">
        <f>HYPERLINK("https://careers.ti.com/", "Apply / Careers ↗")</f>
        <v>Apply / Careers ↗</v>
      </c>
    </row>
    <row r="90" spans="1:7" ht="22.05" customHeight="1" x14ac:dyDescent="0.3">
      <c r="A90" s="11">
        <v>86</v>
      </c>
      <c r="B90" s="12" t="s">
        <v>221</v>
      </c>
      <c r="C90" s="13" t="s">
        <v>222</v>
      </c>
      <c r="D90" s="11" t="s">
        <v>223</v>
      </c>
      <c r="E90" s="14">
        <v>8.5</v>
      </c>
      <c r="F90" s="14">
        <v>12.2</v>
      </c>
      <c r="G90" s="2" t="str">
        <f>HYPERLINK("https://appliedmaterials.wd1.myworkdayjobs.com/Applied_Materials_Careers", "Apply / Careers ↗")</f>
        <v>Apply / Careers ↗</v>
      </c>
    </row>
    <row r="91" spans="1:7" ht="22.05" customHeight="1" x14ac:dyDescent="0.3">
      <c r="A91" s="7">
        <v>87</v>
      </c>
      <c r="B91" s="8" t="s">
        <v>224</v>
      </c>
      <c r="C91" s="9" t="s">
        <v>225</v>
      </c>
      <c r="D91" s="7" t="s">
        <v>171</v>
      </c>
      <c r="E91" s="10">
        <v>9</v>
      </c>
      <c r="F91" s="10">
        <v>13</v>
      </c>
      <c r="G91" s="3" t="str">
        <f>HYPERLINK("https://www.asml.com/en/careers", "Apply / Careers ↗")</f>
        <v>Apply / Careers ↗</v>
      </c>
    </row>
    <row r="92" spans="1:7" ht="22.05" customHeight="1" x14ac:dyDescent="0.3">
      <c r="A92" s="11">
        <v>88</v>
      </c>
      <c r="B92" s="12" t="s">
        <v>226</v>
      </c>
      <c r="C92" s="13" t="s">
        <v>227</v>
      </c>
      <c r="D92" s="11" t="s">
        <v>228</v>
      </c>
      <c r="E92" s="14">
        <v>8.5</v>
      </c>
      <c r="F92" s="14">
        <v>12</v>
      </c>
      <c r="G92" s="2" t="str">
        <f>HYPERLINK("https://www.synopsys.com/careers.html", "Apply / Careers ↗")</f>
        <v>Apply / Careers ↗</v>
      </c>
    </row>
    <row r="93" spans="1:7" ht="22.05" customHeight="1" x14ac:dyDescent="0.3">
      <c r="A93" s="7">
        <v>89</v>
      </c>
      <c r="B93" s="8" t="s">
        <v>229</v>
      </c>
      <c r="C93" s="9" t="s">
        <v>230</v>
      </c>
      <c r="D93" s="7" t="s">
        <v>228</v>
      </c>
      <c r="E93" s="10">
        <v>8.5</v>
      </c>
      <c r="F93" s="10">
        <v>12</v>
      </c>
      <c r="G93" s="3" t="str">
        <f>HYPERLINK("https://www.cadence.com/en_US/home/company/careers.html", "Apply / Careers ↗")</f>
        <v>Apply / Careers ↗</v>
      </c>
    </row>
    <row r="94" spans="1:7" ht="22.05" customHeight="1" x14ac:dyDescent="0.3">
      <c r="A94" s="11">
        <v>90</v>
      </c>
      <c r="B94" s="12" t="s">
        <v>231</v>
      </c>
      <c r="C94" s="13" t="s">
        <v>232</v>
      </c>
      <c r="D94" s="11" t="s">
        <v>233</v>
      </c>
      <c r="E94" s="14">
        <v>8</v>
      </c>
      <c r="F94" s="14">
        <v>12</v>
      </c>
      <c r="G94" s="2" t="str">
        <f>HYPERLINK("https://fractal.ai/careers/", "Apply / Careers ↗")</f>
        <v>Apply / Careers ↗</v>
      </c>
    </row>
    <row r="95" spans="1:7" ht="22.05" customHeight="1" x14ac:dyDescent="0.3">
      <c r="A95" s="7">
        <v>91</v>
      </c>
      <c r="B95" s="8" t="s">
        <v>234</v>
      </c>
      <c r="C95" s="9" t="s">
        <v>235</v>
      </c>
      <c r="D95" s="7" t="s">
        <v>236</v>
      </c>
      <c r="E95" s="10">
        <v>7.5</v>
      </c>
      <c r="F95" s="10">
        <v>11.2</v>
      </c>
      <c r="G95" s="3" t="str">
        <f>HYPERLINK("https://www.mu-sigma.com/careers/", "Apply / Careers ↗")</f>
        <v>Apply / Careers ↗</v>
      </c>
    </row>
    <row r="96" spans="1:7" ht="22.05" customHeight="1" x14ac:dyDescent="0.3">
      <c r="A96" s="11">
        <v>92</v>
      </c>
      <c r="B96" s="12" t="s">
        <v>237</v>
      </c>
      <c r="C96" s="13" t="s">
        <v>238</v>
      </c>
      <c r="D96" s="11" t="s">
        <v>233</v>
      </c>
      <c r="E96" s="14">
        <v>8</v>
      </c>
      <c r="F96" s="14">
        <v>12</v>
      </c>
      <c r="G96" s="2" t="str">
        <f>HYPERLINK("https://www.tigeranalytics.com/careers/", "Apply / Careers ↗")</f>
        <v>Apply / Careers ↗</v>
      </c>
    </row>
    <row r="97" spans="1:7" ht="22.05" customHeight="1" x14ac:dyDescent="0.3">
      <c r="A97" s="7">
        <v>93</v>
      </c>
      <c r="B97" s="8" t="s">
        <v>239</v>
      </c>
      <c r="C97" s="9" t="s">
        <v>240</v>
      </c>
      <c r="D97" s="7" t="s">
        <v>241</v>
      </c>
      <c r="E97" s="10">
        <v>7.5</v>
      </c>
      <c r="F97" s="10">
        <v>11.5</v>
      </c>
      <c r="G97" s="3" t="str">
        <f>HYPERLINK("https://www.latentview.com/careers/", "Apply / Careers ↗")</f>
        <v>Apply / Careers ↗</v>
      </c>
    </row>
    <row r="98" spans="1:7" ht="22.05" customHeight="1" x14ac:dyDescent="0.3">
      <c r="A98" s="11">
        <v>94</v>
      </c>
      <c r="B98" s="12" t="s">
        <v>242</v>
      </c>
      <c r="C98" s="13" t="s">
        <v>243</v>
      </c>
      <c r="D98" s="11" t="s">
        <v>236</v>
      </c>
      <c r="E98" s="14">
        <v>7.5</v>
      </c>
      <c r="F98" s="14">
        <v>11</v>
      </c>
      <c r="G98" s="2" t="str">
        <f>HYPERLINK("https://www.infogain.com/careers/", "Apply / Careers ↗")</f>
        <v>Apply / Careers ↗</v>
      </c>
    </row>
    <row r="99" spans="1:7" ht="22.05" customHeight="1" x14ac:dyDescent="0.3">
      <c r="A99" s="7">
        <v>95</v>
      </c>
      <c r="B99" s="8" t="s">
        <v>244</v>
      </c>
      <c r="C99" s="9" t="s">
        <v>245</v>
      </c>
      <c r="D99" s="7" t="s">
        <v>223</v>
      </c>
      <c r="E99" s="10">
        <v>8.5</v>
      </c>
      <c r="F99" s="10">
        <v>12.5</v>
      </c>
      <c r="G99" s="3" t="str">
        <f>HYPERLINK("https://jobs.zs.com/", "Apply / Careers ↗")</f>
        <v>Apply / Careers ↗</v>
      </c>
    </row>
    <row r="100" spans="1:7" ht="22.05" customHeight="1" x14ac:dyDescent="0.3">
      <c r="A100" s="11">
        <v>96</v>
      </c>
      <c r="B100" s="12" t="s">
        <v>246</v>
      </c>
      <c r="C100" s="13" t="s">
        <v>247</v>
      </c>
      <c r="D100" s="11" t="s">
        <v>236</v>
      </c>
      <c r="E100" s="14">
        <v>7.5</v>
      </c>
      <c r="F100" s="14">
        <v>11.2</v>
      </c>
      <c r="G100" s="2" t="str">
        <f>HYPERLINK("https://www.exlservice.com/careers", "Apply / Careers ↗")</f>
        <v>Apply / Careers ↗</v>
      </c>
    </row>
    <row r="101" spans="1:7" ht="22.05" customHeight="1" x14ac:dyDescent="0.3">
      <c r="A101" s="7">
        <v>97</v>
      </c>
      <c r="B101" s="8" t="s">
        <v>248</v>
      </c>
      <c r="C101" s="9" t="s">
        <v>249</v>
      </c>
      <c r="D101" s="7" t="s">
        <v>250</v>
      </c>
      <c r="E101" s="10">
        <v>7.2</v>
      </c>
      <c r="F101" s="10">
        <v>11</v>
      </c>
      <c r="G101" s="3" t="str">
        <f>HYPERLINK("https://www.genpact.com/careers", "Apply / Careers ↗")</f>
        <v>Apply / Careers ↗</v>
      </c>
    </row>
    <row r="102" spans="1:7" ht="22.05" customHeight="1" x14ac:dyDescent="0.3">
      <c r="A102" s="11">
        <v>98</v>
      </c>
      <c r="B102" s="12" t="s">
        <v>251</v>
      </c>
      <c r="C102" s="13" t="s">
        <v>252</v>
      </c>
      <c r="D102" s="11" t="s">
        <v>250</v>
      </c>
      <c r="E102" s="14">
        <v>7.2</v>
      </c>
      <c r="F102" s="14">
        <v>11</v>
      </c>
      <c r="G102" s="2" t="str">
        <f>HYPERLINK("https://www.wns.com/careers", "Apply / Careers ↗")</f>
        <v>Apply / Careers ↗</v>
      </c>
    </row>
    <row r="103" spans="1:7" ht="22.05" customHeight="1" x14ac:dyDescent="0.3">
      <c r="A103" s="7">
        <v>99</v>
      </c>
      <c r="B103" s="8" t="s">
        <v>253</v>
      </c>
      <c r="C103" s="9" t="s">
        <v>254</v>
      </c>
      <c r="D103" s="7" t="s">
        <v>255</v>
      </c>
      <c r="E103" s="10">
        <v>7</v>
      </c>
      <c r="F103" s="10">
        <v>10.8</v>
      </c>
      <c r="G103" s="3" t="str">
        <f>HYPERLINK("https://eclerx.com/careers/", "Apply / Careers ↗")</f>
        <v>Apply / Careers ↗</v>
      </c>
    </row>
    <row r="104" spans="1:7" ht="22.05" customHeight="1" x14ac:dyDescent="0.3">
      <c r="A104" s="11">
        <v>100</v>
      </c>
      <c r="B104" s="12" t="s">
        <v>256</v>
      </c>
      <c r="C104" s="13" t="s">
        <v>257</v>
      </c>
      <c r="D104" s="11" t="s">
        <v>255</v>
      </c>
      <c r="E104" s="14">
        <v>7</v>
      </c>
      <c r="F104" s="14">
        <v>10.8</v>
      </c>
      <c r="G104" s="2" t="str">
        <f>HYPERLINK("https://affine.ai/careers/", "Apply / Careers ↗")</f>
        <v>Apply / Careers ↗</v>
      </c>
    </row>
    <row r="105" spans="1:7" ht="22.05" customHeight="1" x14ac:dyDescent="0.3">
      <c r="A105" s="7">
        <v>101</v>
      </c>
      <c r="B105" s="8" t="s">
        <v>258</v>
      </c>
      <c r="C105" s="9" t="s">
        <v>259</v>
      </c>
      <c r="D105" s="7" t="s">
        <v>260</v>
      </c>
      <c r="E105" s="10">
        <v>7</v>
      </c>
      <c r="F105" s="10">
        <v>10.5</v>
      </c>
      <c r="G105" s="3" t="str">
        <f>HYPERLINK("https://gramener.com/careers/", "Apply / Careers ↗")</f>
        <v>Apply / Careers ↗</v>
      </c>
    </row>
    <row r="106" spans="1:7" ht="22.05" customHeight="1" x14ac:dyDescent="0.3">
      <c r="A106" s="11">
        <v>102</v>
      </c>
      <c r="B106" s="12" t="s">
        <v>261</v>
      </c>
      <c r="C106" s="13" t="s">
        <v>262</v>
      </c>
      <c r="D106" s="11" t="s">
        <v>263</v>
      </c>
      <c r="E106" s="14">
        <v>8</v>
      </c>
      <c r="F106" s="14">
        <v>12</v>
      </c>
      <c r="G106" s="2" t="str">
        <f>HYPERLINK("https://mathco.com/careers/", "Apply / Careers ↗")</f>
        <v>Apply / Careers ↗</v>
      </c>
    </row>
    <row r="107" spans="1:7" ht="22.05" customHeight="1" x14ac:dyDescent="0.3">
      <c r="A107" s="7">
        <v>103</v>
      </c>
      <c r="B107" s="8" t="s">
        <v>264</v>
      </c>
      <c r="C107" s="9" t="s">
        <v>265</v>
      </c>
      <c r="D107" s="7" t="s">
        <v>263</v>
      </c>
      <c r="E107" s="10">
        <v>8</v>
      </c>
      <c r="F107" s="10">
        <v>12</v>
      </c>
      <c r="G107" s="3" t="str">
        <f>HYPERLINK("https://www.tredence.com/careers", "Apply / Careers ↗")</f>
        <v>Apply / Careers ↗</v>
      </c>
    </row>
    <row r="108" spans="1:7" ht="22.05" customHeight="1" x14ac:dyDescent="0.3">
      <c r="A108" s="11">
        <v>104</v>
      </c>
      <c r="B108" s="12" t="s">
        <v>266</v>
      </c>
      <c r="C108" s="13" t="s">
        <v>267</v>
      </c>
      <c r="D108" s="11" t="s">
        <v>263</v>
      </c>
      <c r="E108" s="14">
        <v>8</v>
      </c>
      <c r="F108" s="14">
        <v>12</v>
      </c>
      <c r="G108" s="2" t="str">
        <f>HYPERLINK("https://www.axtria.com/careers/", "Apply / Careers ↗")</f>
        <v>Apply / Careers ↗</v>
      </c>
    </row>
    <row r="109" spans="1:7" ht="22.05" customHeight="1" x14ac:dyDescent="0.3">
      <c r="A109" s="7">
        <v>105</v>
      </c>
      <c r="B109" s="8" t="s">
        <v>268</v>
      </c>
      <c r="C109" s="9" t="s">
        <v>269</v>
      </c>
      <c r="D109" s="7" t="s">
        <v>228</v>
      </c>
      <c r="E109" s="10">
        <v>8.5</v>
      </c>
      <c r="F109" s="10">
        <v>12.2</v>
      </c>
      <c r="G109" s="3" t="str">
        <f>HYPERLINK("https://blueyonder.com/careers", "Apply / Careers ↗")</f>
        <v>Apply / Careers ↗</v>
      </c>
    </row>
    <row r="110" spans="1:7" ht="22.05" customHeight="1" x14ac:dyDescent="0.3">
      <c r="A110" s="11">
        <v>106</v>
      </c>
      <c r="B110" s="12" t="s">
        <v>270</v>
      </c>
      <c r="C110" s="13" t="s">
        <v>271</v>
      </c>
      <c r="D110" s="11" t="s">
        <v>263</v>
      </c>
      <c r="E110" s="14">
        <v>8</v>
      </c>
      <c r="F110" s="14">
        <v>12</v>
      </c>
      <c r="G110" s="2" t="str">
        <f>HYPERLINK("https://www.manh.com/en-in/careers", "Apply / Careers ↗")</f>
        <v>Apply / Careers ↗</v>
      </c>
    </row>
    <row r="111" spans="1:7" ht="22.05" customHeight="1" x14ac:dyDescent="0.3">
      <c r="A111" s="7">
        <v>107</v>
      </c>
      <c r="B111" s="8" t="s">
        <v>272</v>
      </c>
      <c r="C111" s="9" t="s">
        <v>273</v>
      </c>
      <c r="D111" s="7" t="s">
        <v>274</v>
      </c>
      <c r="E111" s="10">
        <v>8</v>
      </c>
      <c r="F111" s="10">
        <v>11.8</v>
      </c>
      <c r="G111" s="3" t="str">
        <f>HYPERLINK("https://www.factset.com/careers", "Apply / Careers ↗")</f>
        <v>Apply / Careers ↗</v>
      </c>
    </row>
    <row r="112" spans="1:7" ht="22.05" customHeight="1" x14ac:dyDescent="0.3">
      <c r="A112" s="11">
        <v>108</v>
      </c>
      <c r="B112" s="12" t="s">
        <v>275</v>
      </c>
      <c r="C112" s="13" t="s">
        <v>276</v>
      </c>
      <c r="D112" s="11" t="s">
        <v>223</v>
      </c>
      <c r="E112" s="14">
        <v>8.5</v>
      </c>
      <c r="F112" s="14">
        <v>12.5</v>
      </c>
      <c r="G112" s="2" t="str">
        <f>HYPERLINK("https://www.spglobal.com/en/careers/", "Apply / Careers ↗")</f>
        <v>Apply / Careers ↗</v>
      </c>
    </row>
    <row r="113" spans="1:7" ht="22.05" customHeight="1" x14ac:dyDescent="0.3">
      <c r="A113" s="7">
        <v>109</v>
      </c>
      <c r="B113" s="8" t="s">
        <v>277</v>
      </c>
      <c r="C113" s="9" t="s">
        <v>278</v>
      </c>
      <c r="D113" s="7" t="s">
        <v>223</v>
      </c>
      <c r="E113" s="10">
        <v>8.5</v>
      </c>
      <c r="F113" s="10">
        <v>12.5</v>
      </c>
      <c r="G113" s="3" t="str">
        <f>HYPERLINK("https://careers.moodys.com/", "Apply / Careers ↗")</f>
        <v>Apply / Careers ↗</v>
      </c>
    </row>
    <row r="114" spans="1:7" ht="22.05" customHeight="1" x14ac:dyDescent="0.3">
      <c r="A114" s="11">
        <v>110</v>
      </c>
      <c r="B114" s="12" t="s">
        <v>279</v>
      </c>
      <c r="C114" s="13" t="s">
        <v>280</v>
      </c>
      <c r="D114" s="11" t="s">
        <v>274</v>
      </c>
      <c r="E114" s="14">
        <v>8</v>
      </c>
      <c r="F114" s="14">
        <v>11.8</v>
      </c>
      <c r="G114" s="2" t="str">
        <f>HYPERLINK("https://www.morningstar.com/careers", "Apply / Careers ↗")</f>
        <v>Apply / Careers ↗</v>
      </c>
    </row>
    <row r="115" spans="1:7" ht="22.05" customHeight="1" x14ac:dyDescent="0.3">
      <c r="A115" s="7">
        <v>111</v>
      </c>
      <c r="B115" s="8" t="s">
        <v>281</v>
      </c>
      <c r="C115" s="9" t="s">
        <v>282</v>
      </c>
      <c r="D115" s="7" t="s">
        <v>178</v>
      </c>
      <c r="E115" s="10">
        <v>8.8000000000000007</v>
      </c>
      <c r="F115" s="10">
        <v>12.8</v>
      </c>
      <c r="G115" s="3" t="str">
        <f>HYPERLINK("https://www.msci.com/careers", "Apply / Careers ↗")</f>
        <v>Apply / Careers ↗</v>
      </c>
    </row>
    <row r="116" spans="1:7" ht="22.05" customHeight="1" x14ac:dyDescent="0.3">
      <c r="A116" s="11">
        <v>112</v>
      </c>
      <c r="B116" s="12" t="s">
        <v>283</v>
      </c>
      <c r="C116" s="13" t="s">
        <v>284</v>
      </c>
      <c r="D116" s="11" t="s">
        <v>236</v>
      </c>
      <c r="E116" s="14">
        <v>7.5</v>
      </c>
      <c r="F116" s="14">
        <v>11.2</v>
      </c>
      <c r="G116" s="2" t="str">
        <f>HYPERLINK("https://www.crisil.com/en/home/careers.html", "Apply / Careers ↗")</f>
        <v>Apply / Careers ↗</v>
      </c>
    </row>
    <row r="117" spans="1:7" ht="22.05" customHeight="1" x14ac:dyDescent="0.3">
      <c r="A117" s="7">
        <v>113</v>
      </c>
      <c r="B117" s="8" t="s">
        <v>285</v>
      </c>
      <c r="C117" s="9" t="s">
        <v>286</v>
      </c>
      <c r="D117" s="7" t="s">
        <v>287</v>
      </c>
      <c r="E117" s="10">
        <v>7</v>
      </c>
      <c r="F117" s="10">
        <v>10.5</v>
      </c>
      <c r="G117" s="3" t="str">
        <f>HYPERLINK("https://www.careratings.com/careers", "Apply / Careers ↗")</f>
        <v>Apply / Careers ↗</v>
      </c>
    </row>
    <row r="118" spans="1:7" ht="22.05" customHeight="1" x14ac:dyDescent="0.3">
      <c r="A118" s="11">
        <v>114</v>
      </c>
      <c r="B118" s="12" t="s">
        <v>288</v>
      </c>
      <c r="C118" s="13" t="s">
        <v>289</v>
      </c>
      <c r="D118" s="11" t="s">
        <v>287</v>
      </c>
      <c r="E118" s="14">
        <v>7</v>
      </c>
      <c r="F118" s="14">
        <v>10.5</v>
      </c>
      <c r="G118" s="2" t="str">
        <f>HYPERLINK("https://www.icra.in/Careers", "Apply / Careers ↗")</f>
        <v>Apply / Careers ↗</v>
      </c>
    </row>
    <row r="119" spans="1:7" ht="22.05" customHeight="1" x14ac:dyDescent="0.3">
      <c r="A119" s="7">
        <v>115</v>
      </c>
      <c r="B119" s="8" t="s">
        <v>290</v>
      </c>
      <c r="C119" s="9" t="s">
        <v>291</v>
      </c>
      <c r="D119" s="7" t="s">
        <v>292</v>
      </c>
      <c r="E119" s="10">
        <v>7.5</v>
      </c>
      <c r="F119" s="10">
        <v>11</v>
      </c>
      <c r="G119" s="3" t="str">
        <f>HYPERLINK("https://www.dnb.co.in/careers/", "Apply / Careers ↗")</f>
        <v>Apply / Careers ↗</v>
      </c>
    </row>
    <row r="120" spans="1:7" ht="22.05" customHeight="1" x14ac:dyDescent="0.3">
      <c r="A120" s="11">
        <v>116</v>
      </c>
      <c r="B120" s="12" t="s">
        <v>293</v>
      </c>
      <c r="C120" s="13" t="s">
        <v>294</v>
      </c>
      <c r="D120" s="11" t="s">
        <v>223</v>
      </c>
      <c r="E120" s="14">
        <v>8.5</v>
      </c>
      <c r="F120" s="14">
        <v>12.5</v>
      </c>
      <c r="G120" s="2" t="str">
        <f>HYPERLINK("https://www.experian.in/careers", "Apply / Careers ↗")</f>
        <v>Apply / Careers ↗</v>
      </c>
    </row>
    <row r="121" spans="1:7" ht="22.05" customHeight="1" x14ac:dyDescent="0.3">
      <c r="A121" s="7">
        <v>117</v>
      </c>
      <c r="B121" s="8" t="s">
        <v>295</v>
      </c>
      <c r="C121" s="9" t="s">
        <v>296</v>
      </c>
      <c r="D121" s="7" t="s">
        <v>223</v>
      </c>
      <c r="E121" s="10">
        <v>8.5</v>
      </c>
      <c r="F121" s="10">
        <v>12.5</v>
      </c>
      <c r="G121" s="3" t="str">
        <f>HYPERLINK("https://www.transunioncibil.com/about-us/careers", "Apply / Careers ↗")</f>
        <v>Apply / Careers ↗</v>
      </c>
    </row>
    <row r="122" spans="1:7" ht="22.05" customHeight="1" x14ac:dyDescent="0.3">
      <c r="A122" s="11">
        <v>118</v>
      </c>
      <c r="B122" s="12" t="s">
        <v>297</v>
      </c>
      <c r="C122" s="13" t="s">
        <v>298</v>
      </c>
      <c r="D122" s="11" t="s">
        <v>274</v>
      </c>
      <c r="E122" s="14">
        <v>8</v>
      </c>
      <c r="F122" s="14">
        <v>11.8</v>
      </c>
      <c r="G122" s="2" t="str">
        <f>HYPERLINK("https://www.equifax.co.in/careers", "Apply / Careers ↗")</f>
        <v>Apply / Careers ↗</v>
      </c>
    </row>
    <row r="123" spans="1:7" ht="22.05" customHeight="1" x14ac:dyDescent="0.3">
      <c r="A123" s="7">
        <v>119</v>
      </c>
      <c r="B123" s="8" t="s">
        <v>299</v>
      </c>
      <c r="C123" s="9" t="s">
        <v>300</v>
      </c>
      <c r="D123" s="7" t="s">
        <v>292</v>
      </c>
      <c r="E123" s="10">
        <v>7.5</v>
      </c>
      <c r="F123" s="10">
        <v>11</v>
      </c>
      <c r="G123" s="3" t="str">
        <f>HYPERLINK("https://www.crifhighmark.com/careers/", "Apply / Careers ↗")</f>
        <v>Apply / Careers ↗</v>
      </c>
    </row>
    <row r="124" spans="1:7" ht="22.05" customHeight="1" x14ac:dyDescent="0.3">
      <c r="A124" s="11">
        <v>120</v>
      </c>
      <c r="B124" s="12" t="s">
        <v>301</v>
      </c>
      <c r="C124" s="13" t="s">
        <v>302</v>
      </c>
      <c r="D124" s="11" t="s">
        <v>171</v>
      </c>
      <c r="E124" s="14">
        <v>9</v>
      </c>
      <c r="F124" s="14">
        <v>13</v>
      </c>
      <c r="G124" s="2" t="str">
        <f>HYPERLINK("https://www.fico.com/en/careers", "Apply / Careers ↗")</f>
        <v>Apply / Careers ↗</v>
      </c>
    </row>
    <row r="125" spans="1:7" ht="22.05" customHeight="1" x14ac:dyDescent="0.3">
      <c r="A125" s="7">
        <v>121</v>
      </c>
      <c r="B125" s="8" t="s">
        <v>303</v>
      </c>
      <c r="C125" s="9" t="s">
        <v>304</v>
      </c>
      <c r="D125" s="7" t="s">
        <v>160</v>
      </c>
      <c r="E125" s="10">
        <v>9.5</v>
      </c>
      <c r="F125" s="10">
        <v>14</v>
      </c>
      <c r="G125" s="3" t="str">
        <f>HYPERLINK("https://www.mckinsey.com/careers", "Apply / Careers ↗")</f>
        <v>Apply / Careers ↗</v>
      </c>
    </row>
    <row r="126" spans="1:7" ht="22.05" customHeight="1" x14ac:dyDescent="0.3">
      <c r="A126" s="11">
        <v>122</v>
      </c>
      <c r="B126" s="12" t="s">
        <v>305</v>
      </c>
      <c r="C126" s="13" t="s">
        <v>306</v>
      </c>
      <c r="D126" s="11" t="s">
        <v>151</v>
      </c>
      <c r="E126" s="14">
        <v>9.8000000000000007</v>
      </c>
      <c r="F126" s="14">
        <v>14.5</v>
      </c>
      <c r="G126" s="2" t="str">
        <f>HYPERLINK("https://careers.bcg.com/", "Apply / Careers ↗")</f>
        <v>Apply / Careers ↗</v>
      </c>
    </row>
    <row r="127" spans="1:7" ht="22.05" customHeight="1" x14ac:dyDescent="0.3">
      <c r="A127" s="7">
        <v>123</v>
      </c>
      <c r="B127" s="8" t="s">
        <v>307</v>
      </c>
      <c r="C127" s="9" t="s">
        <v>308</v>
      </c>
      <c r="D127" s="7" t="s">
        <v>151</v>
      </c>
      <c r="E127" s="10">
        <v>9.8000000000000007</v>
      </c>
      <c r="F127" s="10">
        <v>14.5</v>
      </c>
      <c r="G127" s="3" t="str">
        <f>HYPERLINK("https://www.bain.com/careers/", "Apply / Careers ↗")</f>
        <v>Apply / Careers ↗</v>
      </c>
    </row>
    <row r="128" spans="1:7" ht="22.05" customHeight="1" x14ac:dyDescent="0.3">
      <c r="A128" s="11">
        <v>124</v>
      </c>
      <c r="B128" s="12" t="s">
        <v>309</v>
      </c>
      <c r="C128" s="13" t="s">
        <v>310</v>
      </c>
      <c r="D128" s="11" t="s">
        <v>178</v>
      </c>
      <c r="E128" s="14">
        <v>9</v>
      </c>
      <c r="F128" s="14">
        <v>13</v>
      </c>
      <c r="G128" s="2" t="str">
        <f>HYPERLINK("https://www.oliverwyman.com/careers.html", "Apply / Careers ↗")</f>
        <v>Apply / Careers ↗</v>
      </c>
    </row>
    <row r="129" spans="1:7" ht="22.05" customHeight="1" x14ac:dyDescent="0.3">
      <c r="A129" s="7">
        <v>125</v>
      </c>
      <c r="B129" s="8" t="s">
        <v>311</v>
      </c>
      <c r="C129" s="9" t="s">
        <v>312</v>
      </c>
      <c r="D129" s="7" t="s">
        <v>178</v>
      </c>
      <c r="E129" s="10">
        <v>9</v>
      </c>
      <c r="F129" s="10">
        <v>13</v>
      </c>
      <c r="G129" s="3" t="str">
        <f>HYPERLINK("https://www.kearney.com/careers", "Apply / Careers ↗")</f>
        <v>Apply / Careers ↗</v>
      </c>
    </row>
    <row r="130" spans="1:7" ht="22.05" customHeight="1" x14ac:dyDescent="0.3">
      <c r="A130" s="11">
        <v>126</v>
      </c>
      <c r="B130" s="12" t="s">
        <v>313</v>
      </c>
      <c r="C130" s="13" t="s">
        <v>314</v>
      </c>
      <c r="D130" s="11" t="s">
        <v>223</v>
      </c>
      <c r="E130" s="14">
        <v>8.5</v>
      </c>
      <c r="F130" s="14">
        <v>12.5</v>
      </c>
      <c r="G130" s="2" t="str">
        <f>HYPERLINK("https://www.rolandberger.com/en/Join/", "Apply / Careers ↗")</f>
        <v>Apply / Careers ↗</v>
      </c>
    </row>
    <row r="131" spans="1:7" ht="22.05" customHeight="1" x14ac:dyDescent="0.3">
      <c r="A131" s="7">
        <v>127</v>
      </c>
      <c r="B131" s="8" t="s">
        <v>315</v>
      </c>
      <c r="C131" s="9" t="s">
        <v>316</v>
      </c>
      <c r="D131" s="7" t="s">
        <v>178</v>
      </c>
      <c r="E131" s="10">
        <v>8.8000000000000007</v>
      </c>
      <c r="F131" s="10">
        <v>13</v>
      </c>
      <c r="G131" s="3" t="str">
        <f>HYPERLINK("https://www.strategyand.pwc.com/careers.html", "Apply / Careers ↗")</f>
        <v>Apply / Careers ↗</v>
      </c>
    </row>
    <row r="132" spans="1:7" ht="22.05" customHeight="1" x14ac:dyDescent="0.3">
      <c r="A132" s="11">
        <v>128</v>
      </c>
      <c r="B132" s="12" t="s">
        <v>317</v>
      </c>
      <c r="C132" s="13" t="s">
        <v>318</v>
      </c>
      <c r="D132" s="11" t="s">
        <v>241</v>
      </c>
      <c r="E132" s="14">
        <v>7.5</v>
      </c>
      <c r="F132" s="14">
        <v>11.5</v>
      </c>
      <c r="G132" s="2" t="str">
        <f>HYPERLINK("https://www.ey.com/en_in/careers", "Apply / Careers ↗")</f>
        <v>Apply / Careers ↗</v>
      </c>
    </row>
    <row r="133" spans="1:7" ht="22.05" customHeight="1" x14ac:dyDescent="0.3">
      <c r="A133" s="7">
        <v>129</v>
      </c>
      <c r="B133" s="8" t="s">
        <v>319</v>
      </c>
      <c r="C133" s="9" t="s">
        <v>320</v>
      </c>
      <c r="D133" s="7" t="s">
        <v>241</v>
      </c>
      <c r="E133" s="10">
        <v>7.5</v>
      </c>
      <c r="F133" s="10">
        <v>11.5</v>
      </c>
      <c r="G133" s="3" t="str">
        <f>HYPERLINK("https://www.pwc.in/careers.html", "Apply / Careers ↗")</f>
        <v>Apply / Careers ↗</v>
      </c>
    </row>
    <row r="134" spans="1:7" ht="22.05" customHeight="1" x14ac:dyDescent="0.3">
      <c r="A134" s="11">
        <v>130</v>
      </c>
      <c r="B134" s="12" t="s">
        <v>321</v>
      </c>
      <c r="C134" s="13" t="s">
        <v>322</v>
      </c>
      <c r="D134" s="11" t="s">
        <v>323</v>
      </c>
      <c r="E134" s="14">
        <v>7.8</v>
      </c>
      <c r="F134" s="14">
        <v>11.8</v>
      </c>
      <c r="G134" s="2" t="str">
        <f>HYPERLINK("https://www2.deloitte.com/ui/en/careers/careers.html", "Apply / Careers ↗")</f>
        <v>Apply / Careers ↗</v>
      </c>
    </row>
    <row r="135" spans="1:7" ht="22.05" customHeight="1" x14ac:dyDescent="0.3">
      <c r="A135" s="7">
        <v>131</v>
      </c>
      <c r="B135" s="8" t="s">
        <v>324</v>
      </c>
      <c r="C135" s="9" t="s">
        <v>325</v>
      </c>
      <c r="D135" s="7" t="s">
        <v>236</v>
      </c>
      <c r="E135" s="10">
        <v>7.5</v>
      </c>
      <c r="F135" s="10">
        <v>11.2</v>
      </c>
      <c r="G135" s="3" t="str">
        <f>HYPERLINK("https://kpmg.com/in/en/home/careers.html", "Apply / Careers ↗")</f>
        <v>Apply / Careers ↗</v>
      </c>
    </row>
    <row r="136" spans="1:7" ht="22.05" customHeight="1" x14ac:dyDescent="0.3">
      <c r="A136" s="11">
        <v>132</v>
      </c>
      <c r="B136" s="12" t="s">
        <v>326</v>
      </c>
      <c r="C136" s="13" t="s">
        <v>327</v>
      </c>
      <c r="D136" s="11" t="s">
        <v>287</v>
      </c>
      <c r="E136" s="14">
        <v>7</v>
      </c>
      <c r="F136" s="14">
        <v>10.5</v>
      </c>
      <c r="G136" s="2" t="str">
        <f>HYPERLINK("https://www.grantthornton.in/careers/", "Apply / Careers ↗")</f>
        <v>Apply / Careers ↗</v>
      </c>
    </row>
    <row r="137" spans="1:7" ht="22.05" customHeight="1" x14ac:dyDescent="0.3">
      <c r="A137" s="7">
        <v>133</v>
      </c>
      <c r="B137" s="8" t="s">
        <v>328</v>
      </c>
      <c r="C137" s="9" t="s">
        <v>329</v>
      </c>
      <c r="D137" s="7" t="s">
        <v>330</v>
      </c>
      <c r="E137" s="10">
        <v>6.8</v>
      </c>
      <c r="F137" s="10">
        <v>10.199999999999999</v>
      </c>
      <c r="G137" s="3" t="str">
        <f>HYPERLINK("https://www.bdo.in/en-gb/careers", "Apply / Careers ↗")</f>
        <v>Apply / Careers ↗</v>
      </c>
    </row>
    <row r="138" spans="1:7" ht="22.05" customHeight="1" x14ac:dyDescent="0.3">
      <c r="A138" s="11">
        <v>134</v>
      </c>
      <c r="B138" s="12" t="s">
        <v>331</v>
      </c>
      <c r="C138" s="13" t="s">
        <v>332</v>
      </c>
      <c r="D138" s="11" t="s">
        <v>287</v>
      </c>
      <c r="E138" s="14">
        <v>7</v>
      </c>
      <c r="F138" s="14">
        <v>10.5</v>
      </c>
      <c r="G138" s="2" t="str">
        <f>HYPERLINK("https://www.protiviti.com/in-en/careers", "Apply / Careers ↗")</f>
        <v>Apply / Careers ↗</v>
      </c>
    </row>
    <row r="139" spans="1:7" ht="22.05" customHeight="1" x14ac:dyDescent="0.3">
      <c r="A139" s="7">
        <v>135</v>
      </c>
      <c r="B139" s="8" t="s">
        <v>333</v>
      </c>
      <c r="C139" s="9" t="s">
        <v>334</v>
      </c>
      <c r="D139" s="7" t="s">
        <v>171</v>
      </c>
      <c r="E139" s="10">
        <v>9.1999999999999993</v>
      </c>
      <c r="F139" s="10">
        <v>13.5</v>
      </c>
      <c r="G139" s="3" t="str">
        <f>HYPERLINK("https://www.alvarezandmarsal.com/careers", "Apply / Careers ↗")</f>
        <v>Apply / Careers ↗</v>
      </c>
    </row>
    <row r="140" spans="1:7" ht="22.05" customHeight="1" x14ac:dyDescent="0.3">
      <c r="A140" s="11">
        <v>136</v>
      </c>
      <c r="B140" s="12" t="s">
        <v>335</v>
      </c>
      <c r="C140" s="13" t="s">
        <v>336</v>
      </c>
      <c r="D140" s="11" t="s">
        <v>337</v>
      </c>
      <c r="E140" s="14">
        <v>6.5</v>
      </c>
      <c r="F140" s="14">
        <v>10</v>
      </c>
      <c r="G140" s="2" t="str">
        <f>HYPERLINK("https://www.accenture.com/in-en/careers", "Apply / Careers ↗")</f>
        <v>Apply / Careers ↗</v>
      </c>
    </row>
    <row r="141" spans="1:7" ht="22.05" customHeight="1" x14ac:dyDescent="0.3">
      <c r="A141" s="7">
        <v>137</v>
      </c>
      <c r="B141" s="8" t="s">
        <v>338</v>
      </c>
      <c r="C141" s="9" t="s">
        <v>339</v>
      </c>
      <c r="D141" s="7" t="s">
        <v>340</v>
      </c>
      <c r="E141" s="10">
        <v>6.2</v>
      </c>
      <c r="F141" s="10">
        <v>9.1999999999999993</v>
      </c>
      <c r="G141" s="3" t="str">
        <f>HYPERLINK("https://www.tcs.com/careers", "Apply / Careers ↗")</f>
        <v>Apply / Careers ↗</v>
      </c>
    </row>
    <row r="142" spans="1:7" ht="22.05" customHeight="1" x14ac:dyDescent="0.3">
      <c r="A142" s="11">
        <v>138</v>
      </c>
      <c r="B142" s="12" t="s">
        <v>341</v>
      </c>
      <c r="C142" s="13" t="s">
        <v>342</v>
      </c>
      <c r="D142" s="11" t="s">
        <v>340</v>
      </c>
      <c r="E142" s="14">
        <v>6.2</v>
      </c>
      <c r="F142" s="14">
        <v>9.1999999999999993</v>
      </c>
      <c r="G142" s="2" t="str">
        <f>HYPERLINK("https://www.infosys.com/careers/", "Apply / Careers ↗")</f>
        <v>Apply / Careers ↗</v>
      </c>
    </row>
    <row r="143" spans="1:7" ht="22.05" customHeight="1" x14ac:dyDescent="0.3">
      <c r="A143" s="7">
        <v>139</v>
      </c>
      <c r="B143" s="8" t="s">
        <v>343</v>
      </c>
      <c r="C143" s="9" t="s">
        <v>344</v>
      </c>
      <c r="D143" s="7" t="s">
        <v>345</v>
      </c>
      <c r="E143" s="10">
        <v>6</v>
      </c>
      <c r="F143" s="10">
        <v>9</v>
      </c>
      <c r="G143" s="3" t="str">
        <f>HYPERLINK("https://careers.wipro.com/", "Apply / Careers ↗")</f>
        <v>Apply / Careers ↗</v>
      </c>
    </row>
    <row r="144" spans="1:7" ht="22.05" customHeight="1" x14ac:dyDescent="0.3">
      <c r="A144" s="11">
        <v>140</v>
      </c>
      <c r="B144" s="12" t="s">
        <v>346</v>
      </c>
      <c r="C144" s="13" t="s">
        <v>347</v>
      </c>
      <c r="D144" s="11" t="s">
        <v>345</v>
      </c>
      <c r="E144" s="14">
        <v>6</v>
      </c>
      <c r="F144" s="14">
        <v>9</v>
      </c>
      <c r="G144" s="2" t="str">
        <f>HYPERLINK("https://careers.cognizant.com/global/en", "Apply / Careers ↗")</f>
        <v>Apply / Careers ↗</v>
      </c>
    </row>
    <row r="145" spans="1:7" ht="22.05" customHeight="1" x14ac:dyDescent="0.3">
      <c r="A145" s="7">
        <v>141</v>
      </c>
      <c r="B145" s="8" t="s">
        <v>348</v>
      </c>
      <c r="C145" s="9" t="s">
        <v>349</v>
      </c>
      <c r="D145" s="7" t="s">
        <v>350</v>
      </c>
      <c r="E145" s="10">
        <v>6</v>
      </c>
      <c r="F145" s="10">
        <v>8.8000000000000007</v>
      </c>
      <c r="G145" s="3" t="str">
        <f>HYPERLINK("https://www.hcltech.com/careers", "Apply / Careers ↗")</f>
        <v>Apply / Careers ↗</v>
      </c>
    </row>
    <row r="146" spans="1:7" ht="22.05" customHeight="1" x14ac:dyDescent="0.3">
      <c r="A146" s="11">
        <v>142</v>
      </c>
      <c r="B146" s="12" t="s">
        <v>351</v>
      </c>
      <c r="C146" s="13" t="s">
        <v>352</v>
      </c>
      <c r="D146" s="11" t="s">
        <v>353</v>
      </c>
      <c r="E146" s="14">
        <v>5.8</v>
      </c>
      <c r="F146" s="14">
        <v>8.6</v>
      </c>
      <c r="G146" s="2" t="str">
        <f>HYPERLINK("https://careers.techmahindra.com/", "Apply / Careers ↗")</f>
        <v>Apply / Careers ↗</v>
      </c>
    </row>
    <row r="147" spans="1:7" ht="22.05" customHeight="1" x14ac:dyDescent="0.3">
      <c r="A147" s="7">
        <v>143</v>
      </c>
      <c r="B147" s="8" t="s">
        <v>354</v>
      </c>
      <c r="C147" s="9" t="s">
        <v>355</v>
      </c>
      <c r="D147" s="7" t="s">
        <v>345</v>
      </c>
      <c r="E147" s="10">
        <v>6</v>
      </c>
      <c r="F147" s="10">
        <v>9</v>
      </c>
      <c r="G147" s="3" t="str">
        <f>HYPERLINK("https://www.capgemini.com/in-en/careers/", "Apply / Careers ↗")</f>
        <v>Apply / Careers ↗</v>
      </c>
    </row>
    <row r="148" spans="1:7" ht="22.05" customHeight="1" x14ac:dyDescent="0.3">
      <c r="A148" s="11">
        <v>144</v>
      </c>
      <c r="B148" s="12" t="s">
        <v>356</v>
      </c>
      <c r="C148" s="13" t="s">
        <v>357</v>
      </c>
      <c r="D148" s="11" t="s">
        <v>340</v>
      </c>
      <c r="E148" s="14">
        <v>6.2</v>
      </c>
      <c r="F148" s="14">
        <v>9.1999999999999993</v>
      </c>
      <c r="G148" s="2" t="str">
        <f>HYPERLINK("https://www.ltimindtree.com/careers/", "Apply / Careers ↗")</f>
        <v>Apply / Careers ↗</v>
      </c>
    </row>
    <row r="149" spans="1:7" ht="22.05" customHeight="1" x14ac:dyDescent="0.3">
      <c r="A149" s="7">
        <v>145</v>
      </c>
      <c r="B149" s="8" t="s">
        <v>358</v>
      </c>
      <c r="C149" s="9" t="s">
        <v>359</v>
      </c>
      <c r="D149" s="7" t="s">
        <v>360</v>
      </c>
      <c r="E149" s="10">
        <v>6.4</v>
      </c>
      <c r="F149" s="10">
        <v>9.5</v>
      </c>
      <c r="G149" s="3" t="str">
        <f>HYPERLINK("https://www.tataelxsi.com/careers", "Apply / Careers ↗")</f>
        <v>Apply / Careers ↗</v>
      </c>
    </row>
    <row r="150" spans="1:7" ht="22.05" customHeight="1" x14ac:dyDescent="0.3">
      <c r="A150" s="11">
        <v>146</v>
      </c>
      <c r="B150" s="12" t="s">
        <v>361</v>
      </c>
      <c r="C150" s="13" t="s">
        <v>362</v>
      </c>
      <c r="D150" s="11" t="s">
        <v>363</v>
      </c>
      <c r="E150" s="14">
        <v>6.6</v>
      </c>
      <c r="F150" s="14">
        <v>9.8000000000000007</v>
      </c>
      <c r="G150" s="2" t="str">
        <f>HYPERLINK("https://www.persistent.com/careers/", "Apply / Careers ↗")</f>
        <v>Apply / Careers ↗</v>
      </c>
    </row>
    <row r="151" spans="1:7" ht="22.05" customHeight="1" x14ac:dyDescent="0.3">
      <c r="A151" s="7">
        <v>147</v>
      </c>
      <c r="B151" s="8" t="s">
        <v>364</v>
      </c>
      <c r="C151" s="9" t="s">
        <v>365</v>
      </c>
      <c r="D151" s="7" t="s">
        <v>350</v>
      </c>
      <c r="E151" s="10">
        <v>6</v>
      </c>
      <c r="F151" s="10">
        <v>8.8000000000000007</v>
      </c>
      <c r="G151" s="3" t="str">
        <f>HYPERLINK("https://www.birlasoft.com/careers", "Apply / Careers ↗")</f>
        <v>Apply / Careers ↗</v>
      </c>
    </row>
    <row r="152" spans="1:7" ht="22.05" customHeight="1" x14ac:dyDescent="0.3">
      <c r="A152" s="11">
        <v>148</v>
      </c>
      <c r="B152" s="12" t="s">
        <v>366</v>
      </c>
      <c r="C152" s="13" t="s">
        <v>367</v>
      </c>
      <c r="D152" s="11" t="s">
        <v>353</v>
      </c>
      <c r="E152" s="14">
        <v>5.8</v>
      </c>
      <c r="F152" s="14">
        <v>8.6</v>
      </c>
      <c r="G152" s="2" t="str">
        <f>HYPERLINK("https://www.cyient.com/careers", "Apply / Careers ↗")</f>
        <v>Apply / Careers ↗</v>
      </c>
    </row>
    <row r="153" spans="1:7" ht="22.05" customHeight="1" x14ac:dyDescent="0.3">
      <c r="A153" s="7">
        <v>149</v>
      </c>
      <c r="B153" s="8" t="s">
        <v>368</v>
      </c>
      <c r="C153" s="9" t="s">
        <v>369</v>
      </c>
      <c r="D153" s="7" t="s">
        <v>345</v>
      </c>
      <c r="E153" s="10">
        <v>6</v>
      </c>
      <c r="F153" s="10">
        <v>9</v>
      </c>
      <c r="G153" s="3" t="str">
        <f>HYPERLINK("https://hexaware.com/careers/", "Apply / Careers ↗")</f>
        <v>Apply / Careers ↗</v>
      </c>
    </row>
    <row r="154" spans="1:7" ht="22.05" customHeight="1" x14ac:dyDescent="0.3">
      <c r="A154" s="11">
        <v>150</v>
      </c>
      <c r="B154" s="12" t="s">
        <v>370</v>
      </c>
      <c r="C154" s="13" t="s">
        <v>371</v>
      </c>
      <c r="D154" s="11" t="s">
        <v>353</v>
      </c>
      <c r="E154" s="14">
        <v>5.8</v>
      </c>
      <c r="F154" s="14">
        <v>8.6</v>
      </c>
      <c r="G154" s="2" t="str">
        <f>HYPERLINK("https://www.zensar.com/careers", "Apply / Careers ↗")</f>
        <v>Apply / Careers ↗</v>
      </c>
    </row>
    <row r="155" spans="1:7" ht="22.05" customHeight="1" x14ac:dyDescent="0.3">
      <c r="A155" s="7">
        <v>151</v>
      </c>
      <c r="B155" s="8" t="s">
        <v>372</v>
      </c>
      <c r="C155" s="9" t="s">
        <v>373</v>
      </c>
      <c r="D155" s="7" t="s">
        <v>353</v>
      </c>
      <c r="E155" s="10">
        <v>5.8</v>
      </c>
      <c r="F155" s="10">
        <v>8.6</v>
      </c>
      <c r="G155" s="3" t="str">
        <f>HYPERLINK("https://careers.mphasis.com/", "Apply / Careers ↗")</f>
        <v>Apply / Careers ↗</v>
      </c>
    </row>
    <row r="156" spans="1:7" ht="22.05" customHeight="1" x14ac:dyDescent="0.3">
      <c r="A156" s="11">
        <v>152</v>
      </c>
      <c r="B156" s="12" t="s">
        <v>374</v>
      </c>
      <c r="C156" s="13" t="s">
        <v>375</v>
      </c>
      <c r="D156" s="11" t="s">
        <v>353</v>
      </c>
      <c r="E156" s="14">
        <v>5.8</v>
      </c>
      <c r="F156" s="14">
        <v>8.6</v>
      </c>
      <c r="G156" s="2" t="str">
        <f>HYPERLINK("https://www.sonata-software.com/careers", "Apply / Careers ↗")</f>
        <v>Apply / Careers ↗</v>
      </c>
    </row>
    <row r="157" spans="1:7" ht="22.05" customHeight="1" x14ac:dyDescent="0.3">
      <c r="A157" s="7">
        <v>153</v>
      </c>
      <c r="B157" s="8" t="s">
        <v>376</v>
      </c>
      <c r="C157" s="9" t="s">
        <v>377</v>
      </c>
      <c r="D157" s="7" t="s">
        <v>340</v>
      </c>
      <c r="E157" s="10">
        <v>6.2</v>
      </c>
      <c r="F157" s="10">
        <v>9.1999999999999993</v>
      </c>
      <c r="G157" s="3" t="str">
        <f>HYPERLINK("https://www.kpit.com/careers/", "Apply / Careers ↗")</f>
        <v>Apply / Careers ↗</v>
      </c>
    </row>
    <row r="158" spans="1:7" ht="22.05" customHeight="1" x14ac:dyDescent="0.3">
      <c r="A158" s="11">
        <v>154</v>
      </c>
      <c r="B158" s="12" t="s">
        <v>378</v>
      </c>
      <c r="C158" s="13" t="s">
        <v>379</v>
      </c>
      <c r="D158" s="11" t="s">
        <v>345</v>
      </c>
      <c r="E158" s="14">
        <v>6</v>
      </c>
      <c r="F158" s="14">
        <v>9</v>
      </c>
      <c r="G158" s="2" t="str">
        <f>HYPERLINK("https://www.coforge.com/careers", "Apply / Careers ↗")</f>
        <v>Apply / Careers ↗</v>
      </c>
    </row>
    <row r="159" spans="1:7" ht="22.05" customHeight="1" x14ac:dyDescent="0.3">
      <c r="A159" s="7">
        <v>155</v>
      </c>
      <c r="B159" s="8" t="s">
        <v>380</v>
      </c>
      <c r="C159" s="9" t="s">
        <v>381</v>
      </c>
      <c r="D159" s="7" t="s">
        <v>350</v>
      </c>
      <c r="E159" s="10">
        <v>6</v>
      </c>
      <c r="F159" s="10">
        <v>8.8000000000000007</v>
      </c>
      <c r="G159" s="3" t="str">
        <f>HYPERLINK("https://www.itcinfotech.com/careers/", "Apply / Careers ↗")</f>
        <v>Apply / Careers ↗</v>
      </c>
    </row>
    <row r="160" spans="1:7" ht="22.05" customHeight="1" x14ac:dyDescent="0.3">
      <c r="A160" s="11">
        <v>156</v>
      </c>
      <c r="B160" s="12" t="s">
        <v>382</v>
      </c>
      <c r="C160" s="13" t="s">
        <v>383</v>
      </c>
      <c r="D160" s="11" t="s">
        <v>384</v>
      </c>
      <c r="E160" s="14">
        <v>5.5</v>
      </c>
      <c r="F160" s="14">
        <v>8.1999999999999993</v>
      </c>
      <c r="G160" s="2" t="str">
        <f>HYPERLINK("https://www.firstsource.com/careers/", "Apply / Careers ↗")</f>
        <v>Apply / Careers ↗</v>
      </c>
    </row>
    <row r="161" spans="1:7" ht="22.05" customHeight="1" x14ac:dyDescent="0.3">
      <c r="A161" s="7">
        <v>157</v>
      </c>
      <c r="B161" s="8" t="s">
        <v>385</v>
      </c>
      <c r="C161" s="9" t="s">
        <v>386</v>
      </c>
      <c r="D161" s="7" t="s">
        <v>387</v>
      </c>
      <c r="E161" s="10">
        <v>5.3</v>
      </c>
      <c r="F161" s="10">
        <v>8</v>
      </c>
      <c r="G161" s="3" t="str">
        <f>HYPERLINK("https://jobs.sutherlandglobal.com/", "Apply / Careers ↗")</f>
        <v>Apply / Careers ↗</v>
      </c>
    </row>
    <row r="162" spans="1:7" ht="22.05" customHeight="1" x14ac:dyDescent="0.3">
      <c r="A162" s="11">
        <v>158</v>
      </c>
      <c r="B162" s="12" t="s">
        <v>388</v>
      </c>
      <c r="C162" s="13" t="s">
        <v>389</v>
      </c>
      <c r="D162" s="11" t="s">
        <v>353</v>
      </c>
      <c r="E162" s="14">
        <v>5.8</v>
      </c>
      <c r="F162" s="14">
        <v>8.6</v>
      </c>
      <c r="G162" s="2" t="str">
        <f>HYPERLINK("https://www.virtusa.com/careers", "Apply / Careers ↗")</f>
        <v>Apply / Careers ↗</v>
      </c>
    </row>
    <row r="163" spans="1:7" ht="22.05" customHeight="1" x14ac:dyDescent="0.3">
      <c r="A163" s="7">
        <v>159</v>
      </c>
      <c r="B163" s="8" t="s">
        <v>390</v>
      </c>
      <c r="C163" s="9" t="s">
        <v>391</v>
      </c>
      <c r="D163" s="7" t="s">
        <v>392</v>
      </c>
      <c r="E163" s="10">
        <v>5.8</v>
      </c>
      <c r="F163" s="10">
        <v>8.4</v>
      </c>
      <c r="G163" s="3" t="str">
        <f>HYPERLINK("https://www.mindgate.in/careers", "Apply / Careers ↗")</f>
        <v>Apply / Careers ↗</v>
      </c>
    </row>
    <row r="164" spans="1:7" ht="22.05" customHeight="1" x14ac:dyDescent="0.3">
      <c r="A164" s="11">
        <v>160</v>
      </c>
      <c r="B164" s="12" t="s">
        <v>393</v>
      </c>
      <c r="C164" s="13" t="s">
        <v>394</v>
      </c>
      <c r="D164" s="11" t="s">
        <v>363</v>
      </c>
      <c r="E164" s="14">
        <v>6.6</v>
      </c>
      <c r="F164" s="14">
        <v>9.8000000000000007</v>
      </c>
      <c r="G164" s="2" t="str">
        <f>HYPERLINK("https://www.careers.fiserv.com/", "Apply / Careers ↗")</f>
        <v>Apply / Careers ↗</v>
      </c>
    </row>
    <row r="165" spans="1:7" ht="22.05" customHeight="1" x14ac:dyDescent="0.3">
      <c r="A165" s="7">
        <v>161</v>
      </c>
      <c r="B165" s="8" t="s">
        <v>395</v>
      </c>
      <c r="C165" s="9" t="s">
        <v>396</v>
      </c>
      <c r="D165" s="7" t="s">
        <v>363</v>
      </c>
      <c r="E165" s="10">
        <v>6.6</v>
      </c>
      <c r="F165" s="10">
        <v>9.8000000000000007</v>
      </c>
      <c r="G165" s="3" t="str">
        <f>HYPERLINK("https://careers.fisglobal.com/", "Apply / Careers ↗")</f>
        <v>Apply / Careers ↗</v>
      </c>
    </row>
    <row r="166" spans="1:7" ht="22.05" customHeight="1" x14ac:dyDescent="0.3">
      <c r="A166" s="11">
        <v>162</v>
      </c>
      <c r="B166" s="12" t="s">
        <v>397</v>
      </c>
      <c r="C166" s="13" t="s">
        <v>398</v>
      </c>
      <c r="D166" s="11" t="s">
        <v>340</v>
      </c>
      <c r="E166" s="14">
        <v>6.2</v>
      </c>
      <c r="F166" s="14">
        <v>9.1999999999999993</v>
      </c>
      <c r="G166" s="2" t="str">
        <f>HYPERLINK("https://worldline.com/en/home/careers.html", "Apply / Careers ↗")</f>
        <v>Apply / Careers ↗</v>
      </c>
    </row>
    <row r="167" spans="1:7" ht="22.05" customHeight="1" x14ac:dyDescent="0.3">
      <c r="A167" s="7">
        <v>163</v>
      </c>
      <c r="B167" s="8" t="s">
        <v>399</v>
      </c>
      <c r="C167" s="9" t="s">
        <v>400</v>
      </c>
      <c r="D167" s="7" t="s">
        <v>353</v>
      </c>
      <c r="E167" s="10">
        <v>5.8</v>
      </c>
      <c r="F167" s="10">
        <v>8.6</v>
      </c>
      <c r="G167" s="3" t="str">
        <f>HYPERLINK("https://www.hitachi-payments.com/careers.html", "Apply / Careers ↗")</f>
        <v>Apply / Careers ↗</v>
      </c>
    </row>
    <row r="168" spans="1:7" ht="22.05" customHeight="1" x14ac:dyDescent="0.3">
      <c r="A168" s="11">
        <v>164</v>
      </c>
      <c r="B168" s="12" t="s">
        <v>401</v>
      </c>
      <c r="C168" s="13" t="s">
        <v>402</v>
      </c>
      <c r="D168" s="11" t="s">
        <v>178</v>
      </c>
      <c r="E168" s="14">
        <v>8.8000000000000007</v>
      </c>
      <c r="F168" s="14">
        <v>13</v>
      </c>
      <c r="G168" s="2" t="str">
        <f>HYPERLINK("https://www.pinelabs.com/careers", "Apply / Careers ↗")</f>
        <v>Apply / Careers ↗</v>
      </c>
    </row>
    <row r="169" spans="1:7" ht="22.05" customHeight="1" x14ac:dyDescent="0.3">
      <c r="A169" s="7">
        <v>165</v>
      </c>
      <c r="B169" s="8" t="s">
        <v>403</v>
      </c>
      <c r="C169" s="9" t="s">
        <v>404</v>
      </c>
      <c r="D169" s="7" t="s">
        <v>178</v>
      </c>
      <c r="E169" s="10">
        <v>8.8000000000000007</v>
      </c>
      <c r="F169" s="10">
        <v>13</v>
      </c>
      <c r="G169" s="3" t="str">
        <f>HYPERLINK("https://bharatpe.com/careers", "Apply / Careers ↗")</f>
        <v>Apply / Careers ↗</v>
      </c>
    </row>
    <row r="170" spans="1:7" ht="22.05" customHeight="1" x14ac:dyDescent="0.3">
      <c r="A170" s="11">
        <v>166</v>
      </c>
      <c r="B170" s="12" t="s">
        <v>405</v>
      </c>
      <c r="C170" s="13" t="s">
        <v>406</v>
      </c>
      <c r="D170" s="11" t="s">
        <v>151</v>
      </c>
      <c r="E170" s="14">
        <v>9.5</v>
      </c>
      <c r="F170" s="14">
        <v>14.5</v>
      </c>
      <c r="G170" s="2" t="str">
        <f>HYPERLINK("https://careers.cred.club/", "Apply / Careers ↗")</f>
        <v>Apply / Careers ↗</v>
      </c>
    </row>
    <row r="171" spans="1:7" ht="22.05" customHeight="1" x14ac:dyDescent="0.3">
      <c r="A171" s="7">
        <v>167</v>
      </c>
      <c r="B171" s="8" t="s">
        <v>407</v>
      </c>
      <c r="C171" s="9" t="s">
        <v>408</v>
      </c>
      <c r="D171" s="7" t="s">
        <v>160</v>
      </c>
      <c r="E171" s="10">
        <v>9.1999999999999993</v>
      </c>
      <c r="F171" s="10">
        <v>14</v>
      </c>
      <c r="G171" s="3" t="str">
        <f>HYPERLINK("https://getonecard.app/careers/", "Apply / Careers ↗")</f>
        <v>Apply / Careers ↗</v>
      </c>
    </row>
    <row r="172" spans="1:7" ht="22.05" customHeight="1" x14ac:dyDescent="0.3">
      <c r="A172" s="11">
        <v>168</v>
      </c>
      <c r="B172" s="12" t="s">
        <v>409</v>
      </c>
      <c r="C172" s="13" t="s">
        <v>410</v>
      </c>
      <c r="D172" s="11" t="s">
        <v>178</v>
      </c>
      <c r="E172" s="14">
        <v>8.8000000000000007</v>
      </c>
      <c r="F172" s="14">
        <v>13</v>
      </c>
      <c r="G172" s="2" t="str">
        <f>HYPERLINK("https://www.uni.cards/careers", "Apply / Careers ↗")</f>
        <v>Apply / Careers ↗</v>
      </c>
    </row>
    <row r="173" spans="1:7" ht="22.05" customHeight="1" x14ac:dyDescent="0.3">
      <c r="A173" s="7">
        <v>169</v>
      </c>
      <c r="B173" s="8" t="s">
        <v>411</v>
      </c>
      <c r="C173" s="9" t="s">
        <v>412</v>
      </c>
      <c r="D173" s="7" t="s">
        <v>178</v>
      </c>
      <c r="E173" s="10">
        <v>8.8000000000000007</v>
      </c>
      <c r="F173" s="10">
        <v>13</v>
      </c>
      <c r="G173" s="3" t="str">
        <f>HYPERLINK("https://sliceit.com/careers", "Apply / Careers ↗")</f>
        <v>Apply / Careers ↗</v>
      </c>
    </row>
    <row r="174" spans="1:7" ht="22.05" customHeight="1" x14ac:dyDescent="0.3">
      <c r="A174" s="11">
        <v>170</v>
      </c>
      <c r="B174" s="12" t="s">
        <v>413</v>
      </c>
      <c r="C174" s="13" t="s">
        <v>414</v>
      </c>
      <c r="D174" s="11" t="s">
        <v>178</v>
      </c>
      <c r="E174" s="14">
        <v>8.8000000000000007</v>
      </c>
      <c r="F174" s="14">
        <v>13</v>
      </c>
      <c r="G174" s="2" t="str">
        <f>HYPERLINK("https://jupiter.money/careers/", "Apply / Careers ↗")</f>
        <v>Apply / Careers ↗</v>
      </c>
    </row>
    <row r="175" spans="1:7" ht="22.05" customHeight="1" x14ac:dyDescent="0.3">
      <c r="A175" s="7">
        <v>171</v>
      </c>
      <c r="B175" s="8" t="s">
        <v>415</v>
      </c>
      <c r="C175" s="9" t="s">
        <v>416</v>
      </c>
      <c r="D175" s="7" t="s">
        <v>178</v>
      </c>
      <c r="E175" s="10">
        <v>8.8000000000000007</v>
      </c>
      <c r="F175" s="10">
        <v>13</v>
      </c>
      <c r="G175" s="3" t="str">
        <f>HYPERLINK("https://fi.money/careers", "Apply / Careers ↗")</f>
        <v>Apply / Careers ↗</v>
      </c>
    </row>
    <row r="176" spans="1:7" ht="22.05" customHeight="1" x14ac:dyDescent="0.3">
      <c r="A176" s="11">
        <v>172</v>
      </c>
      <c r="B176" s="12" t="s">
        <v>417</v>
      </c>
      <c r="C176" s="13" t="s">
        <v>418</v>
      </c>
      <c r="D176" s="11" t="s">
        <v>160</v>
      </c>
      <c r="E176" s="14">
        <v>9.1999999999999993</v>
      </c>
      <c r="F176" s="14">
        <v>14</v>
      </c>
      <c r="G176" s="2" t="str">
        <f>HYPERLINK("https://navi.com/careers", "Apply / Careers ↗")</f>
        <v>Apply / Careers ↗</v>
      </c>
    </row>
    <row r="177" spans="1:7" ht="22.05" customHeight="1" x14ac:dyDescent="0.3">
      <c r="A177" s="7">
        <v>173</v>
      </c>
      <c r="B177" s="8" t="s">
        <v>419</v>
      </c>
      <c r="C177" s="9" t="s">
        <v>420</v>
      </c>
      <c r="D177" s="7" t="s">
        <v>236</v>
      </c>
      <c r="E177" s="10">
        <v>7.5</v>
      </c>
      <c r="F177" s="10">
        <v>11.2</v>
      </c>
      <c r="G177" s="3" t="str">
        <f>HYPERLINK("https://www.kreditbee.in/careers", "Apply / Careers ↗")</f>
        <v>Apply / Careers ↗</v>
      </c>
    </row>
    <row r="178" spans="1:7" ht="22.05" customHeight="1" x14ac:dyDescent="0.3">
      <c r="A178" s="11">
        <v>174</v>
      </c>
      <c r="B178" s="12" t="s">
        <v>421</v>
      </c>
      <c r="C178" s="13" t="s">
        <v>422</v>
      </c>
      <c r="D178" s="11" t="s">
        <v>274</v>
      </c>
      <c r="E178" s="14">
        <v>8</v>
      </c>
      <c r="F178" s="14">
        <v>11.8</v>
      </c>
      <c r="G178" s="2" t="str">
        <f>HYPERLINK("https://moneyview.in/careers", "Apply / Careers ↗")</f>
        <v>Apply / Careers ↗</v>
      </c>
    </row>
    <row r="179" spans="1:7" ht="22.05" customHeight="1" x14ac:dyDescent="0.3">
      <c r="A179" s="7">
        <v>175</v>
      </c>
      <c r="B179" s="8" t="s">
        <v>423</v>
      </c>
      <c r="C179" s="9" t="s">
        <v>424</v>
      </c>
      <c r="D179" s="7" t="s">
        <v>337</v>
      </c>
      <c r="E179" s="10">
        <v>6.8</v>
      </c>
      <c r="F179" s="10">
        <v>10</v>
      </c>
      <c r="G179" s="3" t="str">
        <f>HYPERLINK("https://www.cashe.in/careers/", "Apply / Careers ↗")</f>
        <v>Apply / Careers ↗</v>
      </c>
    </row>
    <row r="180" spans="1:7" ht="22.05" customHeight="1" x14ac:dyDescent="0.3">
      <c r="A180" s="11">
        <v>176</v>
      </c>
      <c r="B180" s="12" t="s">
        <v>425</v>
      </c>
      <c r="C180" s="13" t="s">
        <v>426</v>
      </c>
      <c r="D180" s="11" t="s">
        <v>236</v>
      </c>
      <c r="E180" s="14">
        <v>7.5</v>
      </c>
      <c r="F180" s="14">
        <v>11.2</v>
      </c>
      <c r="G180" s="2" t="str">
        <f>HYPERLINK("https://www.fibe.in/careers/", "Apply / Careers ↗")</f>
        <v>Apply / Careers ↗</v>
      </c>
    </row>
    <row r="181" spans="1:7" ht="22.05" customHeight="1" x14ac:dyDescent="0.3">
      <c r="A181" s="7">
        <v>177</v>
      </c>
      <c r="B181" s="8" t="s">
        <v>427</v>
      </c>
      <c r="C181" s="9" t="s">
        <v>428</v>
      </c>
      <c r="D181" s="7" t="s">
        <v>287</v>
      </c>
      <c r="E181" s="10">
        <v>7</v>
      </c>
      <c r="F181" s="10">
        <v>10.5</v>
      </c>
      <c r="G181" s="3" t="str">
        <f>HYPERLINK("https://kissht.com/careers", "Apply / Careers ↗")</f>
        <v>Apply / Careers ↗</v>
      </c>
    </row>
    <row r="182" spans="1:7" ht="22.05" customHeight="1" x14ac:dyDescent="0.3">
      <c r="A182" s="11">
        <v>178</v>
      </c>
      <c r="B182" s="12" t="s">
        <v>429</v>
      </c>
      <c r="C182" s="13" t="s">
        <v>430</v>
      </c>
      <c r="D182" s="11" t="s">
        <v>340</v>
      </c>
      <c r="E182" s="14">
        <v>6.2</v>
      </c>
      <c r="F182" s="14">
        <v>9.1999999999999993</v>
      </c>
      <c r="G182" s="2" t="str">
        <f>HYPERLINK("https://www.indiabullsfinancialservices.com/careers", "Apply / Careers ↗")</f>
        <v>Apply / Careers ↗</v>
      </c>
    </row>
    <row r="183" spans="1:7" ht="22.05" customHeight="1" x14ac:dyDescent="0.3">
      <c r="A183" s="7">
        <v>179</v>
      </c>
      <c r="B183" s="8" t="s">
        <v>431</v>
      </c>
      <c r="C183" s="9" t="s">
        <v>432</v>
      </c>
      <c r="D183" s="7" t="s">
        <v>236</v>
      </c>
      <c r="E183" s="10">
        <v>7.5</v>
      </c>
      <c r="F183" s="10">
        <v>11.2</v>
      </c>
      <c r="G183" s="3" t="str">
        <f>HYPERLINK("https://www.bajajfinserv.in/careers", "Apply / Careers ↗")</f>
        <v>Apply / Careers ↗</v>
      </c>
    </row>
    <row r="184" spans="1:7" ht="22.05" customHeight="1" x14ac:dyDescent="0.3">
      <c r="A184" s="11">
        <v>180</v>
      </c>
      <c r="B184" s="12" t="s">
        <v>433</v>
      </c>
      <c r="C184" s="13" t="s">
        <v>434</v>
      </c>
      <c r="D184" s="11" t="s">
        <v>435</v>
      </c>
      <c r="E184" s="14">
        <v>6.2</v>
      </c>
      <c r="F184" s="14">
        <v>9.5</v>
      </c>
      <c r="G184" s="2" t="str">
        <f>HYPERLINK("https://unacademy.com/careers", "Apply / Careers ↗")</f>
        <v>Apply / Careers ↗</v>
      </c>
    </row>
    <row r="185" spans="1:7" ht="22.05" customHeight="1" x14ac:dyDescent="0.3">
      <c r="A185" s="7">
        <v>181</v>
      </c>
      <c r="B185" s="8" t="s">
        <v>436</v>
      </c>
      <c r="C185" s="9" t="s">
        <v>437</v>
      </c>
      <c r="D185" s="7" t="s">
        <v>438</v>
      </c>
      <c r="E185" s="10">
        <v>6.2</v>
      </c>
      <c r="F185" s="10">
        <v>9.4</v>
      </c>
      <c r="G185" s="3" t="str">
        <f>HYPERLINK("https://www.upgrad.com/careers/", "Apply / Careers ↗")</f>
        <v>Apply / Careers ↗</v>
      </c>
    </row>
    <row r="186" spans="1:7" ht="22.05" customHeight="1" x14ac:dyDescent="0.3">
      <c r="A186" s="11">
        <v>182</v>
      </c>
      <c r="B186" s="12" t="s">
        <v>439</v>
      </c>
      <c r="C186" s="13" t="s">
        <v>440</v>
      </c>
      <c r="D186" s="11" t="s">
        <v>337</v>
      </c>
      <c r="E186" s="14">
        <v>6.6</v>
      </c>
      <c r="F186" s="14">
        <v>10</v>
      </c>
      <c r="G186" s="2" t="str">
        <f>HYPERLINK("https://emeritus.org/careers/", "Apply / Careers ↗")</f>
        <v>Apply / Careers ↗</v>
      </c>
    </row>
    <row r="187" spans="1:7" ht="22.05" customHeight="1" x14ac:dyDescent="0.3">
      <c r="A187" s="7">
        <v>183</v>
      </c>
      <c r="B187" s="8" t="s">
        <v>441</v>
      </c>
      <c r="C187" s="9" t="s">
        <v>442</v>
      </c>
      <c r="D187" s="7" t="s">
        <v>443</v>
      </c>
      <c r="E187" s="10">
        <v>5</v>
      </c>
      <c r="F187" s="10">
        <v>8.1999999999999993</v>
      </c>
      <c r="G187" s="3" t="str">
        <f>HYPERLINK("https://www.pw.live/careers", "Apply / Careers ↗")</f>
        <v>Apply / Careers ↗</v>
      </c>
    </row>
    <row r="188" spans="1:7" ht="22.05" customHeight="1" x14ac:dyDescent="0.3">
      <c r="A188" s="11">
        <v>184</v>
      </c>
      <c r="B188" s="12" t="s">
        <v>444</v>
      </c>
      <c r="C188" s="13" t="s">
        <v>445</v>
      </c>
      <c r="D188" s="11" t="s">
        <v>446</v>
      </c>
      <c r="E188" s="14">
        <v>5</v>
      </c>
      <c r="F188" s="14">
        <v>7.8</v>
      </c>
      <c r="G188" s="2" t="str">
        <f>HYPERLINK("https://www.adda247.com/jobs", "Apply / Careers ↗")</f>
        <v>Apply / Careers ↗</v>
      </c>
    </row>
    <row r="189" spans="1:7" ht="22.05" customHeight="1" x14ac:dyDescent="0.3">
      <c r="A189" s="7">
        <v>185</v>
      </c>
      <c r="B189" s="8" t="s">
        <v>447</v>
      </c>
      <c r="C189" s="9" t="s">
        <v>448</v>
      </c>
      <c r="D189" s="7" t="s">
        <v>449</v>
      </c>
      <c r="E189" s="10">
        <v>5.8</v>
      </c>
      <c r="F189" s="10">
        <v>8.8000000000000007</v>
      </c>
      <c r="G189" s="3" t="str">
        <f>HYPERLINK("https://www.vedantu.com/careers", "Apply / Careers ↗")</f>
        <v>Apply / Careers ↗</v>
      </c>
    </row>
    <row r="190" spans="1:7" ht="22.05" customHeight="1" x14ac:dyDescent="0.3">
      <c r="A190" s="11">
        <v>186</v>
      </c>
      <c r="B190" s="12" t="s">
        <v>450</v>
      </c>
      <c r="C190" s="13" t="s">
        <v>451</v>
      </c>
      <c r="D190" s="11" t="s">
        <v>337</v>
      </c>
      <c r="E190" s="14">
        <v>6.8</v>
      </c>
      <c r="F190" s="14">
        <v>10</v>
      </c>
      <c r="G190" s="2" t="str">
        <f>HYPERLINK("https://classplus.co/careers/", "Apply / Careers ↗")</f>
        <v>Apply / Careers ↗</v>
      </c>
    </row>
    <row r="191" spans="1:7" ht="22.05" customHeight="1" x14ac:dyDescent="0.3">
      <c r="A191" s="7">
        <v>187</v>
      </c>
      <c r="B191" s="8" t="s">
        <v>452</v>
      </c>
      <c r="C191" s="9" t="s">
        <v>453</v>
      </c>
      <c r="D191" s="7" t="s">
        <v>449</v>
      </c>
      <c r="E191" s="10">
        <v>5.8</v>
      </c>
      <c r="F191" s="10">
        <v>8.8000000000000007</v>
      </c>
      <c r="G191" s="3" t="str">
        <f>HYPERLINK("https://www.cuemath.com/careers/", "Apply / Careers ↗")</f>
        <v>Apply / Careers ↗</v>
      </c>
    </row>
    <row r="192" spans="1:7" ht="22.05" customHeight="1" x14ac:dyDescent="0.3">
      <c r="A192" s="11">
        <v>188</v>
      </c>
      <c r="B192" s="12" t="s">
        <v>454</v>
      </c>
      <c r="C192" s="13" t="s">
        <v>455</v>
      </c>
      <c r="D192" s="11" t="s">
        <v>345</v>
      </c>
      <c r="E192" s="14">
        <v>6</v>
      </c>
      <c r="F192" s="14">
        <v>9</v>
      </c>
      <c r="G192" s="2" t="str">
        <f>HYPERLINK("https://leadschool.in/careers/", "Apply / Careers ↗")</f>
        <v>Apply / Careers ↗</v>
      </c>
    </row>
    <row r="193" spans="1:7" ht="22.05" customHeight="1" x14ac:dyDescent="0.3">
      <c r="A193" s="7">
        <v>189</v>
      </c>
      <c r="B193" s="8" t="s">
        <v>456</v>
      </c>
      <c r="C193" s="9" t="s">
        <v>457</v>
      </c>
      <c r="D193" s="7" t="s">
        <v>353</v>
      </c>
      <c r="E193" s="10">
        <v>5.8</v>
      </c>
      <c r="F193" s="10">
        <v>8.6</v>
      </c>
      <c r="G193" s="3" t="str">
        <f>HYPERLINK("https://www.simplilearn.com/careers", "Apply / Careers ↗")</f>
        <v>Apply / Careers ↗</v>
      </c>
    </row>
    <row r="194" spans="1:7" ht="22.05" customHeight="1" x14ac:dyDescent="0.3">
      <c r="A194" s="11">
        <v>190</v>
      </c>
      <c r="B194" s="12" t="s">
        <v>458</v>
      </c>
      <c r="C194" s="13" t="s">
        <v>459</v>
      </c>
      <c r="D194" s="11" t="s">
        <v>350</v>
      </c>
      <c r="E194" s="14">
        <v>6</v>
      </c>
      <c r="F194" s="14">
        <v>8.8000000000000007</v>
      </c>
      <c r="G194" s="2" t="str">
        <f>HYPERLINK("https://www.mygreatlearning.com/careers", "Apply / Careers ↗")</f>
        <v>Apply / Careers ↗</v>
      </c>
    </row>
    <row r="195" spans="1:7" ht="22.05" customHeight="1" x14ac:dyDescent="0.3">
      <c r="A195" s="7">
        <v>191</v>
      </c>
      <c r="B195" s="8" t="s">
        <v>460</v>
      </c>
      <c r="C195" s="9" t="s">
        <v>461</v>
      </c>
      <c r="D195" s="7" t="s">
        <v>255</v>
      </c>
      <c r="E195" s="10">
        <v>7</v>
      </c>
      <c r="F195" s="10">
        <v>11</v>
      </c>
      <c r="G195" s="3" t="str">
        <f>HYPERLINK("https://www.scaler.com/careers/", "Apply / Careers ↗")</f>
        <v>Apply / Careers ↗</v>
      </c>
    </row>
    <row r="196" spans="1:7" ht="22.05" customHeight="1" x14ac:dyDescent="0.3">
      <c r="A196" s="11">
        <v>192</v>
      </c>
      <c r="B196" s="12" t="s">
        <v>462</v>
      </c>
      <c r="C196" s="13" t="s">
        <v>463</v>
      </c>
      <c r="D196" s="11" t="s">
        <v>353</v>
      </c>
      <c r="E196" s="14">
        <v>5.8</v>
      </c>
      <c r="F196" s="14">
        <v>8.6</v>
      </c>
      <c r="G196" s="2" t="str">
        <f>HYPERLINK("https://www.masaischool.com/careers", "Apply / Careers ↗")</f>
        <v>Apply / Careers ↗</v>
      </c>
    </row>
    <row r="197" spans="1:7" ht="22.05" customHeight="1" x14ac:dyDescent="0.3">
      <c r="A197" s="7">
        <v>193</v>
      </c>
      <c r="B197" s="8" t="s">
        <v>464</v>
      </c>
      <c r="C197" s="9" t="s">
        <v>465</v>
      </c>
      <c r="D197" s="7" t="s">
        <v>466</v>
      </c>
      <c r="E197" s="10">
        <v>5.4</v>
      </c>
      <c r="F197" s="10">
        <v>8.1999999999999993</v>
      </c>
      <c r="G197" s="3" t="str">
        <f>HYPERLINK("https://www.geeksforgeeks.org/careers/", "Apply / Careers ↗")</f>
        <v>Apply / Careers ↗</v>
      </c>
    </row>
    <row r="198" spans="1:7" ht="22.05" customHeight="1" x14ac:dyDescent="0.3">
      <c r="A198" s="11">
        <v>194</v>
      </c>
      <c r="B198" s="12" t="s">
        <v>467</v>
      </c>
      <c r="C198" s="13" t="s">
        <v>468</v>
      </c>
      <c r="D198" s="11" t="s">
        <v>446</v>
      </c>
      <c r="E198" s="14">
        <v>5</v>
      </c>
      <c r="F198" s="14">
        <v>7.8</v>
      </c>
      <c r="G198" s="2" t="str">
        <f>HYPERLINK("https://tutort.net/careers", "Apply / Careers ↗")</f>
        <v>Apply / Careers ↗</v>
      </c>
    </row>
    <row r="199" spans="1:7" ht="22.05" customHeight="1" x14ac:dyDescent="0.3">
      <c r="A199" s="7">
        <v>195</v>
      </c>
      <c r="B199" s="8" t="s">
        <v>469</v>
      </c>
      <c r="C199" s="9" t="s">
        <v>470</v>
      </c>
      <c r="D199" s="7" t="s">
        <v>471</v>
      </c>
      <c r="E199" s="10">
        <v>5</v>
      </c>
      <c r="F199" s="10">
        <v>7.5</v>
      </c>
      <c r="G199" s="3" t="str">
        <f>HYPERLINK("https://www.boardinfinity.com/careers", "Apply / Careers ↗")</f>
        <v>Apply / Careers ↗</v>
      </c>
    </row>
    <row r="200" spans="1:7" ht="22.05" customHeight="1" x14ac:dyDescent="0.3">
      <c r="A200" s="11">
        <v>196</v>
      </c>
      <c r="B200" s="12" t="s">
        <v>472</v>
      </c>
      <c r="C200" s="13" t="s">
        <v>473</v>
      </c>
      <c r="D200" s="11" t="s">
        <v>471</v>
      </c>
      <c r="E200" s="14">
        <v>5</v>
      </c>
      <c r="F200" s="14">
        <v>7.5</v>
      </c>
      <c r="G200" s="2" t="str">
        <f>HYPERLINK("https://internshala.com/careers", "Apply / Careers ↗")</f>
        <v>Apply / Careers ↗</v>
      </c>
    </row>
    <row r="201" spans="1:7" ht="22.05" customHeight="1" x14ac:dyDescent="0.3">
      <c r="A201" s="7">
        <v>197</v>
      </c>
      <c r="B201" s="8" t="s">
        <v>474</v>
      </c>
      <c r="C201" s="9" t="s">
        <v>475</v>
      </c>
      <c r="D201" s="7" t="s">
        <v>236</v>
      </c>
      <c r="E201" s="10">
        <v>7.5</v>
      </c>
      <c r="F201" s="10">
        <v>11.2</v>
      </c>
      <c r="G201" s="3" t="str">
        <f>HYPERLINK("https://www.infoedge.in/careers/", "Apply / Careers ↗")</f>
        <v>Apply / Careers ↗</v>
      </c>
    </row>
    <row r="202" spans="1:7" ht="22.05" customHeight="1" x14ac:dyDescent="0.3">
      <c r="A202" s="11">
        <v>198</v>
      </c>
      <c r="B202" s="12" t="s">
        <v>476</v>
      </c>
      <c r="C202" s="13" t="s">
        <v>477</v>
      </c>
      <c r="D202" s="11" t="s">
        <v>340</v>
      </c>
      <c r="E202" s="14">
        <v>6.2</v>
      </c>
      <c r="F202" s="14">
        <v>9.1999999999999993</v>
      </c>
      <c r="G202" s="2" t="str">
        <f>HYPERLINK("https://www.foundit.in/careers", "Apply / Careers ↗")</f>
        <v>Apply / Careers ↗</v>
      </c>
    </row>
    <row r="203" spans="1:7" ht="22.05" customHeight="1" x14ac:dyDescent="0.3">
      <c r="A203" s="7">
        <v>199</v>
      </c>
      <c r="B203" s="8" t="s">
        <v>478</v>
      </c>
      <c r="C203" s="9" t="s">
        <v>479</v>
      </c>
      <c r="D203" s="7" t="s">
        <v>387</v>
      </c>
      <c r="E203" s="10">
        <v>5.4</v>
      </c>
      <c r="F203" s="10">
        <v>8</v>
      </c>
      <c r="G203" s="3" t="str">
        <f>HYPERLINK("https://www.shine.com/careers/", "Apply / Careers ↗")</f>
        <v>Apply / Careers ↗</v>
      </c>
    </row>
    <row r="204" spans="1:7" ht="22.05" customHeight="1" x14ac:dyDescent="0.3">
      <c r="A204" s="11">
        <v>200</v>
      </c>
      <c r="B204" s="12" t="s">
        <v>480</v>
      </c>
      <c r="C204" s="13" t="s">
        <v>481</v>
      </c>
      <c r="D204" s="11" t="s">
        <v>482</v>
      </c>
      <c r="E204" s="14">
        <v>5.2</v>
      </c>
      <c r="F204" s="14">
        <v>7.8</v>
      </c>
      <c r="G204" s="2" t="str">
        <f>HYPERLINK("https://www.timesjobs.com/careers", "Apply / Careers ↗")</f>
        <v>Apply / Careers ↗</v>
      </c>
    </row>
  </sheetData>
  <autoFilter ref="A4:G204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4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0" customWidth="1"/>
    <col min="2" max="2" width="34" customWidth="1"/>
    <col min="3" max="3" width="48" customWidth="1"/>
    <col min="4" max="4" width="25" customWidth="1"/>
    <col min="5" max="6" width="16" customWidth="1"/>
    <col min="7" max="7" width="24" customWidth="1"/>
  </cols>
  <sheetData>
    <row r="1" spans="1:7" ht="21" x14ac:dyDescent="0.4">
      <c r="A1" s="4" t="s">
        <v>1290</v>
      </c>
    </row>
    <row r="2" spans="1:7" x14ac:dyDescent="0.3">
      <c r="A2" s="1" t="s">
        <v>1291</v>
      </c>
    </row>
    <row r="4" spans="1:7" ht="28.05" customHeight="1" x14ac:dyDescent="0.3">
      <c r="A4" s="5" t="s">
        <v>2</v>
      </c>
      <c r="B4" s="6" t="s">
        <v>3</v>
      </c>
      <c r="C4" s="6" t="s">
        <v>4</v>
      </c>
      <c r="D4" s="6" t="s">
        <v>5</v>
      </c>
      <c r="E4" s="5" t="s">
        <v>6</v>
      </c>
      <c r="F4" s="5" t="s">
        <v>7</v>
      </c>
      <c r="G4" s="5" t="s">
        <v>8</v>
      </c>
    </row>
    <row r="5" spans="1:7" ht="22.05" customHeight="1" x14ac:dyDescent="0.3">
      <c r="A5" s="7">
        <v>201</v>
      </c>
      <c r="B5" s="8" t="s">
        <v>483</v>
      </c>
      <c r="C5" s="9" t="s">
        <v>484</v>
      </c>
      <c r="D5" s="7" t="s">
        <v>340</v>
      </c>
      <c r="E5" s="10">
        <v>6.2</v>
      </c>
      <c r="F5" s="10">
        <v>9.1999999999999993</v>
      </c>
      <c r="G5" s="3" t="str">
        <f>HYPERLINK("https://www.hdfcbank.com/personal/about-us/careers", "Apply / Careers ↗")</f>
        <v>Apply / Careers ↗</v>
      </c>
    </row>
    <row r="6" spans="1:7" ht="22.05" customHeight="1" x14ac:dyDescent="0.3">
      <c r="A6" s="11">
        <v>202</v>
      </c>
      <c r="B6" s="12" t="s">
        <v>485</v>
      </c>
      <c r="C6" s="13" t="s">
        <v>486</v>
      </c>
      <c r="D6" s="11" t="s">
        <v>340</v>
      </c>
      <c r="E6" s="14">
        <v>6.2</v>
      </c>
      <c r="F6" s="14">
        <v>9.1999999999999993</v>
      </c>
      <c r="G6" s="2" t="str">
        <f>HYPERLINK("https://www.icicicareers.com/", "Apply / Careers ↗")</f>
        <v>Apply / Careers ↗</v>
      </c>
    </row>
    <row r="7" spans="1:7" ht="22.05" customHeight="1" x14ac:dyDescent="0.3">
      <c r="A7" s="7">
        <v>203</v>
      </c>
      <c r="B7" s="8" t="s">
        <v>487</v>
      </c>
      <c r="C7" s="9" t="s">
        <v>488</v>
      </c>
      <c r="D7" s="7" t="s">
        <v>345</v>
      </c>
      <c r="E7" s="10">
        <v>6</v>
      </c>
      <c r="F7" s="10">
        <v>9</v>
      </c>
      <c r="G7" s="3" t="str">
        <f>HYPERLINK("https://www.axisbank.com/careers", "Apply / Careers ↗")</f>
        <v>Apply / Careers ↗</v>
      </c>
    </row>
    <row r="8" spans="1:7" ht="22.05" customHeight="1" x14ac:dyDescent="0.3">
      <c r="A8" s="11">
        <v>204</v>
      </c>
      <c r="B8" s="12" t="s">
        <v>489</v>
      </c>
      <c r="C8" s="13" t="s">
        <v>490</v>
      </c>
      <c r="D8" s="11" t="s">
        <v>345</v>
      </c>
      <c r="E8" s="14">
        <v>6</v>
      </c>
      <c r="F8" s="14">
        <v>9</v>
      </c>
      <c r="G8" s="2" t="str">
        <f>HYPERLINK("https://www.kotak.com/en/careers.html", "Apply / Careers ↗")</f>
        <v>Apply / Careers ↗</v>
      </c>
    </row>
    <row r="9" spans="1:7" ht="22.05" customHeight="1" x14ac:dyDescent="0.3">
      <c r="A9" s="7">
        <v>205</v>
      </c>
      <c r="B9" s="8" t="s">
        <v>491</v>
      </c>
      <c r="C9" s="9" t="s">
        <v>492</v>
      </c>
      <c r="D9" s="7" t="s">
        <v>353</v>
      </c>
      <c r="E9" s="10">
        <v>5.8</v>
      </c>
      <c r="F9" s="10">
        <v>8.6</v>
      </c>
      <c r="G9" s="3" t="str">
        <f>HYPERLINK("https://www.indusind.com/in/en/careers.html", "Apply / Careers ↗")</f>
        <v>Apply / Careers ↗</v>
      </c>
    </row>
    <row r="10" spans="1:7" ht="22.05" customHeight="1" x14ac:dyDescent="0.3">
      <c r="A10" s="11">
        <v>206</v>
      </c>
      <c r="B10" s="12" t="s">
        <v>493</v>
      </c>
      <c r="C10" s="13" t="s">
        <v>494</v>
      </c>
      <c r="D10" s="11" t="s">
        <v>353</v>
      </c>
      <c r="E10" s="14">
        <v>5.8</v>
      </c>
      <c r="F10" s="14">
        <v>8.6</v>
      </c>
      <c r="G10" s="2" t="str">
        <f>HYPERLINK("https://www.yesbank.com/careers", "Apply / Careers ↗")</f>
        <v>Apply / Careers ↗</v>
      </c>
    </row>
    <row r="11" spans="1:7" ht="22.05" customHeight="1" x14ac:dyDescent="0.3">
      <c r="A11" s="7">
        <v>207</v>
      </c>
      <c r="B11" s="8" t="s">
        <v>495</v>
      </c>
      <c r="C11" s="9" t="s">
        <v>496</v>
      </c>
      <c r="D11" s="7" t="s">
        <v>345</v>
      </c>
      <c r="E11" s="10">
        <v>6</v>
      </c>
      <c r="F11" s="10">
        <v>9</v>
      </c>
      <c r="G11" s="3" t="str">
        <f>HYPERLINK("https://www.idfcfirstbank.com/careers", "Apply / Careers ↗")</f>
        <v>Apply / Careers ↗</v>
      </c>
    </row>
    <row r="12" spans="1:7" ht="22.05" customHeight="1" x14ac:dyDescent="0.3">
      <c r="A12" s="11">
        <v>208</v>
      </c>
      <c r="B12" s="12" t="s">
        <v>497</v>
      </c>
      <c r="C12" s="13" t="s">
        <v>498</v>
      </c>
      <c r="D12" s="11" t="s">
        <v>384</v>
      </c>
      <c r="E12" s="14">
        <v>5.5</v>
      </c>
      <c r="F12" s="14">
        <v>8.1999999999999993</v>
      </c>
      <c r="G12" s="2" t="str">
        <f>HYPERLINK("https://www.federalbank.co.in/careers", "Apply / Careers ↗")</f>
        <v>Apply / Careers ↗</v>
      </c>
    </row>
    <row r="13" spans="1:7" ht="22.05" customHeight="1" x14ac:dyDescent="0.3">
      <c r="A13" s="7">
        <v>209</v>
      </c>
      <c r="B13" s="8" t="s">
        <v>499</v>
      </c>
      <c r="C13" s="9" t="s">
        <v>500</v>
      </c>
      <c r="D13" s="7" t="s">
        <v>384</v>
      </c>
      <c r="E13" s="10">
        <v>5.5</v>
      </c>
      <c r="F13" s="10">
        <v>8.1999999999999993</v>
      </c>
      <c r="G13" s="3" t="str">
        <f>HYPERLINK("https://www.rblbank.com/careers", "Apply / Careers ↗")</f>
        <v>Apply / Careers ↗</v>
      </c>
    </row>
    <row r="14" spans="1:7" ht="22.05" customHeight="1" x14ac:dyDescent="0.3">
      <c r="A14" s="11">
        <v>210</v>
      </c>
      <c r="B14" s="12" t="s">
        <v>501</v>
      </c>
      <c r="C14" s="13" t="s">
        <v>502</v>
      </c>
      <c r="D14" s="11" t="s">
        <v>387</v>
      </c>
      <c r="E14" s="14">
        <v>5.3</v>
      </c>
      <c r="F14" s="14">
        <v>8</v>
      </c>
      <c r="G14" s="2" t="str">
        <f>HYPERLINK("https://bandhanbank.com/careers", "Apply / Careers ↗")</f>
        <v>Apply / Careers ↗</v>
      </c>
    </row>
    <row r="15" spans="1:7" ht="22.05" customHeight="1" x14ac:dyDescent="0.3">
      <c r="A15" s="7">
        <v>211</v>
      </c>
      <c r="B15" s="8" t="s">
        <v>503</v>
      </c>
      <c r="C15" s="9" t="s">
        <v>504</v>
      </c>
      <c r="D15" s="7" t="s">
        <v>387</v>
      </c>
      <c r="E15" s="10">
        <v>5.3</v>
      </c>
      <c r="F15" s="10">
        <v>8</v>
      </c>
      <c r="G15" s="3" t="str">
        <f>HYPERLINK("https://www.aubank.in/careers", "Apply / Careers ↗")</f>
        <v>Apply / Careers ↗</v>
      </c>
    </row>
    <row r="16" spans="1:7" ht="22.05" customHeight="1" x14ac:dyDescent="0.3">
      <c r="A16" s="11">
        <v>212</v>
      </c>
      <c r="B16" s="12" t="s">
        <v>505</v>
      </c>
      <c r="C16" s="13" t="s">
        <v>506</v>
      </c>
      <c r="D16" s="11" t="s">
        <v>482</v>
      </c>
      <c r="E16" s="14">
        <v>5.2</v>
      </c>
      <c r="F16" s="14">
        <v>7.8</v>
      </c>
      <c r="G16" s="2" t="str">
        <f>HYPERLINK("https://www.equitasbank.com/careers", "Apply / Careers ↗")</f>
        <v>Apply / Careers ↗</v>
      </c>
    </row>
    <row r="17" spans="1:7" ht="22.05" customHeight="1" x14ac:dyDescent="0.3">
      <c r="A17" s="7">
        <v>213</v>
      </c>
      <c r="B17" s="8" t="s">
        <v>507</v>
      </c>
      <c r="C17" s="9" t="s">
        <v>508</v>
      </c>
      <c r="D17" s="7" t="s">
        <v>482</v>
      </c>
      <c r="E17" s="10">
        <v>5.2</v>
      </c>
      <c r="F17" s="10">
        <v>7.8</v>
      </c>
      <c r="G17" s="3" t="str">
        <f>HYPERLINK("https://www.ujjivansfb.in/careers", "Apply / Careers ↗")</f>
        <v>Apply / Careers ↗</v>
      </c>
    </row>
    <row r="18" spans="1:7" ht="22.05" customHeight="1" x14ac:dyDescent="0.3">
      <c r="A18" s="11">
        <v>214</v>
      </c>
      <c r="B18" s="12" t="s">
        <v>509</v>
      </c>
      <c r="C18" s="13" t="s">
        <v>510</v>
      </c>
      <c r="D18" s="11" t="s">
        <v>392</v>
      </c>
      <c r="E18" s="14">
        <v>5.8</v>
      </c>
      <c r="F18" s="14">
        <v>8.5</v>
      </c>
      <c r="G18" s="2" t="str">
        <f>HYPERLINK("https://sbi.co.in/web/careers", "Apply / Careers ↗")</f>
        <v>Apply / Careers ↗</v>
      </c>
    </row>
    <row r="19" spans="1:7" ht="22.05" customHeight="1" x14ac:dyDescent="0.3">
      <c r="A19" s="7">
        <v>215</v>
      </c>
      <c r="B19" s="8" t="s">
        <v>511</v>
      </c>
      <c r="C19" s="9" t="s">
        <v>512</v>
      </c>
      <c r="D19" s="7" t="s">
        <v>384</v>
      </c>
      <c r="E19" s="10">
        <v>5.5</v>
      </c>
      <c r="F19" s="10">
        <v>8.1999999999999993</v>
      </c>
      <c r="G19" s="3" t="str">
        <f>HYPERLINK("https://www.bankofbaroda.in/careers", "Apply / Careers ↗")</f>
        <v>Apply / Careers ↗</v>
      </c>
    </row>
    <row r="20" spans="1:7" ht="22.05" customHeight="1" x14ac:dyDescent="0.3">
      <c r="A20" s="11">
        <v>216</v>
      </c>
      <c r="B20" s="12" t="s">
        <v>513</v>
      </c>
      <c r="C20" s="13" t="s">
        <v>514</v>
      </c>
      <c r="D20" s="11" t="s">
        <v>515</v>
      </c>
      <c r="E20" s="14">
        <v>5.2</v>
      </c>
      <c r="F20" s="14">
        <v>7.6</v>
      </c>
      <c r="G20" s="2" t="str">
        <f>HYPERLINK("https://www.pnbindia.in/recruitment.html", "Apply / Careers ↗")</f>
        <v>Apply / Careers ↗</v>
      </c>
    </row>
    <row r="21" spans="1:7" ht="22.05" customHeight="1" x14ac:dyDescent="0.3">
      <c r="A21" s="7">
        <v>217</v>
      </c>
      <c r="B21" s="8" t="s">
        <v>516</v>
      </c>
      <c r="C21" s="9" t="s">
        <v>517</v>
      </c>
      <c r="D21" s="7" t="s">
        <v>515</v>
      </c>
      <c r="E21" s="10">
        <v>5.2</v>
      </c>
      <c r="F21" s="10">
        <v>7.6</v>
      </c>
      <c r="G21" s="3" t="str">
        <f>HYPERLINK("https://canarabank.com/pages/careers", "Apply / Careers ↗")</f>
        <v>Apply / Careers ↗</v>
      </c>
    </row>
    <row r="22" spans="1:7" ht="22.05" customHeight="1" x14ac:dyDescent="0.3">
      <c r="A22" s="11">
        <v>218</v>
      </c>
      <c r="B22" s="12" t="s">
        <v>518</v>
      </c>
      <c r="C22" s="13" t="s">
        <v>519</v>
      </c>
      <c r="D22" s="11" t="s">
        <v>515</v>
      </c>
      <c r="E22" s="14">
        <v>5.2</v>
      </c>
      <c r="F22" s="14">
        <v>7.6</v>
      </c>
      <c r="G22" s="2" t="str">
        <f>HYPERLINK("https://www.unionbankofindia.co.in/english/careers.aspx", "Apply / Careers ↗")</f>
        <v>Apply / Careers ↗</v>
      </c>
    </row>
    <row r="23" spans="1:7" ht="22.05" customHeight="1" x14ac:dyDescent="0.3">
      <c r="A23" s="7">
        <v>219</v>
      </c>
      <c r="B23" s="8" t="s">
        <v>520</v>
      </c>
      <c r="C23" s="9" t="s">
        <v>521</v>
      </c>
      <c r="D23" s="7" t="s">
        <v>522</v>
      </c>
      <c r="E23" s="10">
        <v>5</v>
      </c>
      <c r="F23" s="10">
        <v>7.4</v>
      </c>
      <c r="G23" s="3" t="str">
        <f>HYPERLINK("https://www.indianbank.in/career/", "Apply / Careers ↗")</f>
        <v>Apply / Careers ↗</v>
      </c>
    </row>
    <row r="24" spans="1:7" ht="22.05" customHeight="1" x14ac:dyDescent="0.3">
      <c r="A24" s="11">
        <v>220</v>
      </c>
      <c r="B24" s="12" t="s">
        <v>523</v>
      </c>
      <c r="C24" s="13" t="s">
        <v>524</v>
      </c>
      <c r="D24" s="11" t="s">
        <v>522</v>
      </c>
      <c r="E24" s="14">
        <v>5</v>
      </c>
      <c r="F24" s="14">
        <v>7.4</v>
      </c>
      <c r="G24" s="2" t="str">
        <f>HYPERLINK("https://bankofindia.co.in/career", "Apply / Careers ↗")</f>
        <v>Apply / Careers ↗</v>
      </c>
    </row>
    <row r="25" spans="1:7" ht="22.05" customHeight="1" x14ac:dyDescent="0.3">
      <c r="A25" s="7">
        <v>221</v>
      </c>
      <c r="B25" s="8" t="s">
        <v>525</v>
      </c>
      <c r="C25" s="9" t="s">
        <v>526</v>
      </c>
      <c r="D25" s="7" t="s">
        <v>340</v>
      </c>
      <c r="E25" s="10">
        <v>6.2</v>
      </c>
      <c r="F25" s="10">
        <v>9.1999999999999993</v>
      </c>
      <c r="G25" s="3" t="str">
        <f>HYPERLINK("https://www.tatacapital.com/careers.html", "Apply / Careers ↗")</f>
        <v>Apply / Careers ↗</v>
      </c>
    </row>
    <row r="26" spans="1:7" ht="22.05" customHeight="1" x14ac:dyDescent="0.3">
      <c r="A26" s="11">
        <v>222</v>
      </c>
      <c r="B26" s="12" t="s">
        <v>527</v>
      </c>
      <c r="C26" s="13" t="s">
        <v>528</v>
      </c>
      <c r="D26" s="11" t="s">
        <v>340</v>
      </c>
      <c r="E26" s="14">
        <v>6.2</v>
      </c>
      <c r="F26" s="14">
        <v>9.1999999999999993</v>
      </c>
      <c r="G26" s="2" t="str">
        <f>HYPERLINK("https://careers.adityabirlacapital.com/", "Apply / Careers ↗")</f>
        <v>Apply / Careers ↗</v>
      </c>
    </row>
    <row r="27" spans="1:7" ht="22.05" customHeight="1" x14ac:dyDescent="0.3">
      <c r="A27" s="7">
        <v>223</v>
      </c>
      <c r="B27" s="8" t="s">
        <v>529</v>
      </c>
      <c r="C27" s="9" t="s">
        <v>530</v>
      </c>
      <c r="D27" s="7" t="s">
        <v>345</v>
      </c>
      <c r="E27" s="10">
        <v>6</v>
      </c>
      <c r="F27" s="10">
        <v>9</v>
      </c>
      <c r="G27" s="3" t="str">
        <f>HYPERLINK("https://www.ltfs.com/careers", "Apply / Careers ↗")</f>
        <v>Apply / Careers ↗</v>
      </c>
    </row>
    <row r="28" spans="1:7" ht="22.05" customHeight="1" x14ac:dyDescent="0.3">
      <c r="A28" s="11">
        <v>224</v>
      </c>
      <c r="B28" s="12" t="s">
        <v>531</v>
      </c>
      <c r="C28" s="13" t="s">
        <v>532</v>
      </c>
      <c r="D28" s="11" t="s">
        <v>345</v>
      </c>
      <c r="E28" s="14">
        <v>6</v>
      </c>
      <c r="F28" s="14">
        <v>9</v>
      </c>
      <c r="G28" s="2" t="str">
        <f>HYPERLINK("https://www.piramal.com/careers/", "Apply / Careers ↗")</f>
        <v>Apply / Careers ↗</v>
      </c>
    </row>
    <row r="29" spans="1:7" ht="22.05" customHeight="1" x14ac:dyDescent="0.3">
      <c r="A29" s="7">
        <v>225</v>
      </c>
      <c r="B29" s="8" t="s">
        <v>533</v>
      </c>
      <c r="C29" s="9" t="s">
        <v>534</v>
      </c>
      <c r="D29" s="7" t="s">
        <v>353</v>
      </c>
      <c r="E29" s="10">
        <v>5.8</v>
      </c>
      <c r="F29" s="10">
        <v>8.6</v>
      </c>
      <c r="G29" s="3" t="str">
        <f>HYPERLINK("https://www.cholamandalam.com/careers", "Apply / Careers ↗")</f>
        <v>Apply / Careers ↗</v>
      </c>
    </row>
    <row r="30" spans="1:7" ht="22.05" customHeight="1" x14ac:dyDescent="0.3">
      <c r="A30" s="11">
        <v>226</v>
      </c>
      <c r="B30" s="12" t="s">
        <v>535</v>
      </c>
      <c r="C30" s="13" t="s">
        <v>536</v>
      </c>
      <c r="D30" s="11" t="s">
        <v>353</v>
      </c>
      <c r="E30" s="14">
        <v>5.8</v>
      </c>
      <c r="F30" s="14">
        <v>8.6</v>
      </c>
      <c r="G30" s="2" t="str">
        <f>HYPERLINK("https://www.shriramfinance.in/careers", "Apply / Careers ↗")</f>
        <v>Apply / Careers ↗</v>
      </c>
    </row>
    <row r="31" spans="1:7" ht="22.05" customHeight="1" x14ac:dyDescent="0.3">
      <c r="A31" s="7">
        <v>227</v>
      </c>
      <c r="B31" s="8" t="s">
        <v>537</v>
      </c>
      <c r="C31" s="9" t="s">
        <v>538</v>
      </c>
      <c r="D31" s="7" t="s">
        <v>387</v>
      </c>
      <c r="E31" s="10">
        <v>5.3</v>
      </c>
      <c r="F31" s="10">
        <v>8</v>
      </c>
      <c r="G31" s="3" t="str">
        <f>HYPERLINK("https://www.muthootfinance.com/careers", "Apply / Careers ↗")</f>
        <v>Apply / Careers ↗</v>
      </c>
    </row>
    <row r="32" spans="1:7" ht="22.05" customHeight="1" x14ac:dyDescent="0.3">
      <c r="A32" s="11">
        <v>228</v>
      </c>
      <c r="B32" s="12" t="s">
        <v>539</v>
      </c>
      <c r="C32" s="13" t="s">
        <v>540</v>
      </c>
      <c r="D32" s="11" t="s">
        <v>482</v>
      </c>
      <c r="E32" s="14">
        <v>5.2</v>
      </c>
      <c r="F32" s="14">
        <v>7.8</v>
      </c>
      <c r="G32" s="2" t="str">
        <f>HYPERLINK("https://www.manappuram.com/careers.html", "Apply / Careers ↗")</f>
        <v>Apply / Careers ↗</v>
      </c>
    </row>
    <row r="33" spans="1:7" ht="22.05" customHeight="1" x14ac:dyDescent="0.3">
      <c r="A33" s="7">
        <v>229</v>
      </c>
      <c r="B33" s="8" t="s">
        <v>541</v>
      </c>
      <c r="C33" s="9" t="s">
        <v>542</v>
      </c>
      <c r="D33" s="7" t="s">
        <v>387</v>
      </c>
      <c r="E33" s="10">
        <v>5.3</v>
      </c>
      <c r="F33" s="10">
        <v>8</v>
      </c>
      <c r="G33" s="3" t="str">
        <f>HYPERLINK("https://www.sundaramfinance.in/careers", "Apply / Careers ↗")</f>
        <v>Apply / Careers ↗</v>
      </c>
    </row>
    <row r="34" spans="1:7" ht="22.05" customHeight="1" x14ac:dyDescent="0.3">
      <c r="A34" s="11">
        <v>230</v>
      </c>
      <c r="B34" s="12" t="s">
        <v>543</v>
      </c>
      <c r="C34" s="13" t="s">
        <v>544</v>
      </c>
      <c r="D34" s="11" t="s">
        <v>353</v>
      </c>
      <c r="E34" s="14">
        <v>5.8</v>
      </c>
      <c r="F34" s="14">
        <v>8.6</v>
      </c>
      <c r="G34" s="2" t="str">
        <f>HYPERLINK("https://www.mahindrafinance.com/careers", "Apply / Careers ↗")</f>
        <v>Apply / Careers ↗</v>
      </c>
    </row>
    <row r="35" spans="1:7" ht="22.05" customHeight="1" x14ac:dyDescent="0.3">
      <c r="A35" s="7">
        <v>231</v>
      </c>
      <c r="B35" s="8" t="s">
        <v>545</v>
      </c>
      <c r="C35" s="9" t="s">
        <v>546</v>
      </c>
      <c r="D35" s="7" t="s">
        <v>345</v>
      </c>
      <c r="E35" s="10">
        <v>6</v>
      </c>
      <c r="F35" s="10">
        <v>9</v>
      </c>
      <c r="G35" s="3" t="str">
        <f>HYPERLINK("https://www.hdfclife.com/about-us/careers", "Apply / Careers ↗")</f>
        <v>Apply / Careers ↗</v>
      </c>
    </row>
    <row r="36" spans="1:7" ht="22.05" customHeight="1" x14ac:dyDescent="0.3">
      <c r="A36" s="11">
        <v>232</v>
      </c>
      <c r="B36" s="12" t="s">
        <v>547</v>
      </c>
      <c r="C36" s="13" t="s">
        <v>548</v>
      </c>
      <c r="D36" s="11" t="s">
        <v>345</v>
      </c>
      <c r="E36" s="14">
        <v>6</v>
      </c>
      <c r="F36" s="14">
        <v>9</v>
      </c>
      <c r="G36" s="2" t="str">
        <f>HYPERLINK("https://www.iciciprulife.com/about-us/careers.html", "Apply / Careers ↗")</f>
        <v>Apply / Careers ↗</v>
      </c>
    </row>
    <row r="37" spans="1:7" ht="22.05" customHeight="1" x14ac:dyDescent="0.3">
      <c r="A37" s="7">
        <v>233</v>
      </c>
      <c r="B37" s="8" t="s">
        <v>549</v>
      </c>
      <c r="C37" s="9" t="s">
        <v>550</v>
      </c>
      <c r="D37" s="7" t="s">
        <v>353</v>
      </c>
      <c r="E37" s="10">
        <v>5.8</v>
      </c>
      <c r="F37" s="10">
        <v>8.6</v>
      </c>
      <c r="G37" s="3" t="str">
        <f>HYPERLINK("https://www.sbilife.co.in/en/about-us/careers", "Apply / Careers ↗")</f>
        <v>Apply / Careers ↗</v>
      </c>
    </row>
    <row r="38" spans="1:7" ht="22.05" customHeight="1" x14ac:dyDescent="0.3">
      <c r="A38" s="11">
        <v>234</v>
      </c>
      <c r="B38" s="12" t="s">
        <v>551</v>
      </c>
      <c r="C38" s="13" t="s">
        <v>552</v>
      </c>
      <c r="D38" s="11" t="s">
        <v>353</v>
      </c>
      <c r="E38" s="14">
        <v>5.8</v>
      </c>
      <c r="F38" s="14">
        <v>8.6</v>
      </c>
      <c r="G38" s="2" t="str">
        <f>HYPERLINK("https://www.maxlifeinsurance.com/careers", "Apply / Careers ↗")</f>
        <v>Apply / Careers ↗</v>
      </c>
    </row>
    <row r="39" spans="1:7" ht="22.05" customHeight="1" x14ac:dyDescent="0.3">
      <c r="A39" s="7">
        <v>235</v>
      </c>
      <c r="B39" s="8" t="s">
        <v>553</v>
      </c>
      <c r="C39" s="9" t="s">
        <v>554</v>
      </c>
      <c r="D39" s="7" t="s">
        <v>353</v>
      </c>
      <c r="E39" s="10">
        <v>5.8</v>
      </c>
      <c r="F39" s="10">
        <v>8.6</v>
      </c>
      <c r="G39" s="3" t="str">
        <f>HYPERLINK("https://www.tataaia.com/about-us/careers.html", "Apply / Careers ↗")</f>
        <v>Apply / Careers ↗</v>
      </c>
    </row>
    <row r="40" spans="1:7" ht="22.05" customHeight="1" x14ac:dyDescent="0.3">
      <c r="A40" s="11">
        <v>236</v>
      </c>
      <c r="B40" s="12" t="s">
        <v>555</v>
      </c>
      <c r="C40" s="13" t="s">
        <v>556</v>
      </c>
      <c r="D40" s="11" t="s">
        <v>353</v>
      </c>
      <c r="E40" s="14">
        <v>5.8</v>
      </c>
      <c r="F40" s="14">
        <v>8.6</v>
      </c>
      <c r="G40" s="2" t="str">
        <f>HYPERLINK("https://www.bajajallianz.com/careers.html", "Apply / Careers ↗")</f>
        <v>Apply / Careers ↗</v>
      </c>
    </row>
    <row r="41" spans="1:7" ht="22.05" customHeight="1" x14ac:dyDescent="0.3">
      <c r="A41" s="7">
        <v>237</v>
      </c>
      <c r="B41" s="8" t="s">
        <v>557</v>
      </c>
      <c r="C41" s="9" t="s">
        <v>558</v>
      </c>
      <c r="D41" s="7" t="s">
        <v>345</v>
      </c>
      <c r="E41" s="10">
        <v>6</v>
      </c>
      <c r="F41" s="10">
        <v>9</v>
      </c>
      <c r="G41" s="3" t="str">
        <f>HYPERLINK("https://www.icicilombard.com/careers", "Apply / Careers ↗")</f>
        <v>Apply / Careers ↗</v>
      </c>
    </row>
    <row r="42" spans="1:7" ht="22.05" customHeight="1" x14ac:dyDescent="0.3">
      <c r="A42" s="11">
        <v>238</v>
      </c>
      <c r="B42" s="12" t="s">
        <v>559</v>
      </c>
      <c r="C42" s="13" t="s">
        <v>560</v>
      </c>
      <c r="D42" s="11" t="s">
        <v>384</v>
      </c>
      <c r="E42" s="14">
        <v>5.5</v>
      </c>
      <c r="F42" s="14">
        <v>8.1999999999999993</v>
      </c>
      <c r="G42" s="2" t="str">
        <f>HYPERLINK("https://www.starhealth.in/careers", "Apply / Careers ↗")</f>
        <v>Apply / Careers ↗</v>
      </c>
    </row>
    <row r="43" spans="1:7" ht="22.05" customHeight="1" x14ac:dyDescent="0.3">
      <c r="A43" s="7">
        <v>239</v>
      </c>
      <c r="B43" s="8" t="s">
        <v>561</v>
      </c>
      <c r="C43" s="9" t="s">
        <v>562</v>
      </c>
      <c r="D43" s="7" t="s">
        <v>384</v>
      </c>
      <c r="E43" s="10">
        <v>5.5</v>
      </c>
      <c r="F43" s="10">
        <v>8.1999999999999993</v>
      </c>
      <c r="G43" s="3" t="str">
        <f>HYPERLINK("https://www.careinsurance.com/careers.html", "Apply / Careers ↗")</f>
        <v>Apply / Careers ↗</v>
      </c>
    </row>
    <row r="44" spans="1:7" ht="22.05" customHeight="1" x14ac:dyDescent="0.3">
      <c r="A44" s="11">
        <v>240</v>
      </c>
      <c r="B44" s="12" t="s">
        <v>563</v>
      </c>
      <c r="C44" s="13" t="s">
        <v>564</v>
      </c>
      <c r="D44" s="11" t="s">
        <v>384</v>
      </c>
      <c r="E44" s="14">
        <v>5.5</v>
      </c>
      <c r="F44" s="14">
        <v>8.1999999999999993</v>
      </c>
      <c r="G44" s="2" t="str">
        <f>HYPERLINK("https://www.nivabupa.com/careers.html", "Apply / Careers ↗")</f>
        <v>Apply / Careers ↗</v>
      </c>
    </row>
    <row r="45" spans="1:7" ht="22.05" customHeight="1" x14ac:dyDescent="0.3">
      <c r="A45" s="7">
        <v>241</v>
      </c>
      <c r="B45" s="8" t="s">
        <v>565</v>
      </c>
      <c r="C45" s="9" t="s">
        <v>566</v>
      </c>
      <c r="D45" s="7" t="s">
        <v>353</v>
      </c>
      <c r="E45" s="10">
        <v>5.8</v>
      </c>
      <c r="F45" s="10">
        <v>8.6</v>
      </c>
      <c r="G45" s="3" t="str">
        <f>HYPERLINK("https://www.hdfcergo.com/careers", "Apply / Careers ↗")</f>
        <v>Apply / Careers ↗</v>
      </c>
    </row>
    <row r="46" spans="1:7" ht="22.05" customHeight="1" x14ac:dyDescent="0.3">
      <c r="A46" s="11">
        <v>242</v>
      </c>
      <c r="B46" s="12" t="s">
        <v>567</v>
      </c>
      <c r="C46" s="13" t="s">
        <v>568</v>
      </c>
      <c r="D46" s="11" t="s">
        <v>337</v>
      </c>
      <c r="E46" s="14">
        <v>6.6</v>
      </c>
      <c r="F46" s="14">
        <v>10</v>
      </c>
      <c r="G46" s="2" t="str">
        <f>HYPERLINK("https://www.godigit.com/work-with-us", "Apply / Careers ↗")</f>
        <v>Apply / Careers ↗</v>
      </c>
    </row>
    <row r="47" spans="1:7" ht="22.05" customHeight="1" x14ac:dyDescent="0.3">
      <c r="A47" s="7">
        <v>243</v>
      </c>
      <c r="B47" s="8" t="s">
        <v>569</v>
      </c>
      <c r="C47" s="9" t="s">
        <v>570</v>
      </c>
      <c r="D47" s="7" t="s">
        <v>287</v>
      </c>
      <c r="E47" s="10">
        <v>7</v>
      </c>
      <c r="F47" s="10">
        <v>10.5</v>
      </c>
      <c r="G47" s="3" t="str">
        <f>HYPERLINK("https://www.acko.com/careers/", "Apply / Careers ↗")</f>
        <v>Apply / Careers ↗</v>
      </c>
    </row>
    <row r="48" spans="1:7" ht="22.05" customHeight="1" x14ac:dyDescent="0.3">
      <c r="A48" s="11">
        <v>244</v>
      </c>
      <c r="B48" s="12" t="s">
        <v>571</v>
      </c>
      <c r="C48" s="13" t="s">
        <v>572</v>
      </c>
      <c r="D48" s="11" t="s">
        <v>384</v>
      </c>
      <c r="E48" s="14">
        <v>5.5</v>
      </c>
      <c r="F48" s="14">
        <v>8.1999999999999993</v>
      </c>
      <c r="G48" s="2" t="str">
        <f>HYPERLINK("https://www.kotakgeneral.com/careers", "Apply / Careers ↗")</f>
        <v>Apply / Careers ↗</v>
      </c>
    </row>
    <row r="49" spans="1:7" ht="22.05" customHeight="1" x14ac:dyDescent="0.3">
      <c r="A49" s="7">
        <v>245</v>
      </c>
      <c r="B49" s="8" t="s">
        <v>573</v>
      </c>
      <c r="C49" s="9" t="s">
        <v>574</v>
      </c>
      <c r="D49" s="7" t="s">
        <v>387</v>
      </c>
      <c r="E49" s="10">
        <v>5.3</v>
      </c>
      <c r="F49" s="10">
        <v>8</v>
      </c>
      <c r="G49" s="3" t="str">
        <f>HYPERLINK("https://www.reliancegeneral.co.in/Insurance/About-Us/Careers.aspx", "Apply / Careers ↗")</f>
        <v>Apply / Careers ↗</v>
      </c>
    </row>
    <row r="50" spans="1:7" ht="22.05" customHeight="1" x14ac:dyDescent="0.3">
      <c r="A50" s="11">
        <v>246</v>
      </c>
      <c r="B50" s="12" t="s">
        <v>575</v>
      </c>
      <c r="C50" s="13" t="s">
        <v>576</v>
      </c>
      <c r="D50" s="11" t="s">
        <v>353</v>
      </c>
      <c r="E50" s="14">
        <v>5.8</v>
      </c>
      <c r="F50" s="14">
        <v>8.6</v>
      </c>
      <c r="G50" s="2" t="str">
        <f>HYPERLINK("https://mf.nipponindia.im/Careers", "Apply / Careers ↗")</f>
        <v>Apply / Careers ↗</v>
      </c>
    </row>
    <row r="51" spans="1:7" ht="22.05" customHeight="1" x14ac:dyDescent="0.3">
      <c r="A51" s="7">
        <v>247</v>
      </c>
      <c r="B51" s="8" t="s">
        <v>577</v>
      </c>
      <c r="C51" s="9" t="s">
        <v>578</v>
      </c>
      <c r="D51" s="7" t="s">
        <v>345</v>
      </c>
      <c r="E51" s="10">
        <v>6</v>
      </c>
      <c r="F51" s="10">
        <v>9</v>
      </c>
      <c r="G51" s="3" t="str">
        <f>HYPERLINK("https://www.hdfcfund.com/careers", "Apply / Careers ↗")</f>
        <v>Apply / Careers ↗</v>
      </c>
    </row>
    <row r="52" spans="1:7" ht="22.05" customHeight="1" x14ac:dyDescent="0.3">
      <c r="A52" s="11">
        <v>248</v>
      </c>
      <c r="B52" s="12" t="s">
        <v>579</v>
      </c>
      <c r="C52" s="13" t="s">
        <v>580</v>
      </c>
      <c r="D52" s="11" t="s">
        <v>345</v>
      </c>
      <c r="E52" s="14">
        <v>6</v>
      </c>
      <c r="F52" s="14">
        <v>9</v>
      </c>
      <c r="G52" s="2" t="str">
        <f>HYPERLINK("https://www.icicipruamc.com/careers", "Apply / Careers ↗")</f>
        <v>Apply / Careers ↗</v>
      </c>
    </row>
    <row r="53" spans="1:7" ht="22.05" customHeight="1" x14ac:dyDescent="0.3">
      <c r="A53" s="7">
        <v>249</v>
      </c>
      <c r="B53" s="8" t="s">
        <v>581</v>
      </c>
      <c r="C53" s="9" t="s">
        <v>582</v>
      </c>
      <c r="D53" s="7" t="s">
        <v>353</v>
      </c>
      <c r="E53" s="10">
        <v>5.8</v>
      </c>
      <c r="F53" s="10">
        <v>8.6</v>
      </c>
      <c r="G53" s="3" t="str">
        <f>HYPERLINK("https://www.sbimf.com/careers", "Apply / Careers ↗")</f>
        <v>Apply / Careers ↗</v>
      </c>
    </row>
    <row r="54" spans="1:7" ht="22.05" customHeight="1" x14ac:dyDescent="0.3">
      <c r="A54" s="11">
        <v>250</v>
      </c>
      <c r="B54" s="12" t="s">
        <v>583</v>
      </c>
      <c r="C54" s="13" t="s">
        <v>584</v>
      </c>
      <c r="D54" s="11" t="s">
        <v>384</v>
      </c>
      <c r="E54" s="14">
        <v>5.5</v>
      </c>
      <c r="F54" s="14">
        <v>8.1999999999999993</v>
      </c>
      <c r="G54" s="2" t="str">
        <f>HYPERLINK("https://www.utimf.com/careers/", "Apply / Careers ↗")</f>
        <v>Apply / Careers ↗</v>
      </c>
    </row>
    <row r="55" spans="1:7" ht="22.05" customHeight="1" x14ac:dyDescent="0.3">
      <c r="A55" s="7">
        <v>251</v>
      </c>
      <c r="B55" s="8" t="s">
        <v>585</v>
      </c>
      <c r="C55" s="9" t="s">
        <v>586</v>
      </c>
      <c r="D55" s="7" t="s">
        <v>353</v>
      </c>
      <c r="E55" s="10">
        <v>5.8</v>
      </c>
      <c r="F55" s="10">
        <v>8.6</v>
      </c>
      <c r="G55" s="3" t="str">
        <f>HYPERLINK("https://www.motilaloswal.com/careers", "Apply / Careers ↗")</f>
        <v>Apply / Careers ↗</v>
      </c>
    </row>
    <row r="56" spans="1:7" ht="22.05" customHeight="1" x14ac:dyDescent="0.3">
      <c r="A56" s="11">
        <v>252</v>
      </c>
      <c r="B56" s="12" t="s">
        <v>587</v>
      </c>
      <c r="C56" s="13" t="s">
        <v>588</v>
      </c>
      <c r="D56" s="11" t="s">
        <v>387</v>
      </c>
      <c r="E56" s="14">
        <v>5.3</v>
      </c>
      <c r="F56" s="14">
        <v>8</v>
      </c>
      <c r="G56" s="2" t="str">
        <f>HYPERLINK("https://www.sharekhan.com/career", "Apply / Careers ↗")</f>
        <v>Apply / Careers ↗</v>
      </c>
    </row>
    <row r="57" spans="1:7" ht="22.05" customHeight="1" x14ac:dyDescent="0.3">
      <c r="A57" s="7">
        <v>253</v>
      </c>
      <c r="B57" s="8" t="s">
        <v>589</v>
      </c>
      <c r="C57" s="9" t="s">
        <v>590</v>
      </c>
      <c r="D57" s="7" t="s">
        <v>255</v>
      </c>
      <c r="E57" s="10">
        <v>7</v>
      </c>
      <c r="F57" s="10">
        <v>11</v>
      </c>
      <c r="G57" s="3" t="str">
        <f>HYPERLINK("https://www.angelone.in/careers", "Apply / Careers ↗")</f>
        <v>Apply / Careers ↗</v>
      </c>
    </row>
    <row r="58" spans="1:7" ht="22.05" customHeight="1" x14ac:dyDescent="0.3">
      <c r="A58" s="11">
        <v>254</v>
      </c>
      <c r="B58" s="12" t="s">
        <v>591</v>
      </c>
      <c r="C58" s="13" t="s">
        <v>592</v>
      </c>
      <c r="D58" s="11" t="s">
        <v>255</v>
      </c>
      <c r="E58" s="14">
        <v>7</v>
      </c>
      <c r="F58" s="14">
        <v>11</v>
      </c>
      <c r="G58" s="2" t="str">
        <f>HYPERLINK("https://upstox.com/careers/", "Apply / Careers ↗")</f>
        <v>Apply / Careers ↗</v>
      </c>
    </row>
    <row r="59" spans="1:7" ht="22.05" customHeight="1" x14ac:dyDescent="0.3">
      <c r="A59" s="7">
        <v>255</v>
      </c>
      <c r="B59" s="8" t="s">
        <v>593</v>
      </c>
      <c r="C59" s="9" t="s">
        <v>594</v>
      </c>
      <c r="D59" s="7" t="s">
        <v>353</v>
      </c>
      <c r="E59" s="10">
        <v>5.8</v>
      </c>
      <c r="F59" s="10">
        <v>8.6</v>
      </c>
      <c r="G59" s="3" t="str">
        <f>HYPERLINK("https://www.5paisa.com/careers", "Apply / Careers ↗")</f>
        <v>Apply / Careers ↗</v>
      </c>
    </row>
    <row r="60" spans="1:7" ht="22.05" customHeight="1" x14ac:dyDescent="0.3">
      <c r="A60" s="11">
        <v>256</v>
      </c>
      <c r="B60" s="12" t="s">
        <v>595</v>
      </c>
      <c r="C60" s="13" t="s">
        <v>596</v>
      </c>
      <c r="D60" s="11" t="s">
        <v>337</v>
      </c>
      <c r="E60" s="14">
        <v>6.6</v>
      </c>
      <c r="F60" s="14">
        <v>10</v>
      </c>
      <c r="G60" s="2" t="str">
        <f>HYPERLINK("https://dhan.co/careers/", "Apply / Careers ↗")</f>
        <v>Apply / Careers ↗</v>
      </c>
    </row>
    <row r="61" spans="1:7" ht="22.05" customHeight="1" x14ac:dyDescent="0.3">
      <c r="A61" s="7">
        <v>257</v>
      </c>
      <c r="B61" s="8" t="s">
        <v>597</v>
      </c>
      <c r="C61" s="9" t="s">
        <v>598</v>
      </c>
      <c r="D61" s="7" t="s">
        <v>482</v>
      </c>
      <c r="E61" s="10">
        <v>5.2</v>
      </c>
      <c r="F61" s="10">
        <v>7.8</v>
      </c>
      <c r="G61" s="3" t="str">
        <f>HYPERLINK("https://www.geojit.com/careers", "Apply / Careers ↗")</f>
        <v>Apply / Careers ↗</v>
      </c>
    </row>
    <row r="62" spans="1:7" ht="22.05" customHeight="1" x14ac:dyDescent="0.3">
      <c r="A62" s="11">
        <v>258</v>
      </c>
      <c r="B62" s="12" t="s">
        <v>599</v>
      </c>
      <c r="C62" s="13" t="s">
        <v>600</v>
      </c>
      <c r="D62" s="11" t="s">
        <v>384</v>
      </c>
      <c r="E62" s="14">
        <v>5.5</v>
      </c>
      <c r="F62" s="14">
        <v>8.1999999999999993</v>
      </c>
      <c r="G62" s="2" t="str">
        <f>HYPERLINK("https://www.iiflsecurities.com/careers", "Apply / Careers ↗")</f>
        <v>Apply / Careers ↗</v>
      </c>
    </row>
    <row r="63" spans="1:7" ht="22.05" customHeight="1" x14ac:dyDescent="0.3">
      <c r="A63" s="7">
        <v>259</v>
      </c>
      <c r="B63" s="8" t="s">
        <v>601</v>
      </c>
      <c r="C63" s="9" t="s">
        <v>602</v>
      </c>
      <c r="D63" s="7" t="s">
        <v>353</v>
      </c>
      <c r="E63" s="10">
        <v>5.8</v>
      </c>
      <c r="F63" s="10">
        <v>8.6</v>
      </c>
      <c r="G63" s="3" t="str">
        <f>HYPERLINK("https://www.jmfl.com/careers", "Apply / Careers ↗")</f>
        <v>Apply / Careers ↗</v>
      </c>
    </row>
    <row r="64" spans="1:7" ht="22.05" customHeight="1" x14ac:dyDescent="0.3">
      <c r="A64" s="11">
        <v>260</v>
      </c>
      <c r="B64" s="12" t="s">
        <v>603</v>
      </c>
      <c r="C64" s="13" t="s">
        <v>604</v>
      </c>
      <c r="D64" s="11" t="s">
        <v>353</v>
      </c>
      <c r="E64" s="14">
        <v>5.8</v>
      </c>
      <c r="F64" s="14">
        <v>8.6</v>
      </c>
      <c r="G64" s="2" t="str">
        <f>HYPERLINK("https://www.edelweissfin.com/careers", "Apply / Careers ↗")</f>
        <v>Apply / Careers ↗</v>
      </c>
    </row>
    <row r="65" spans="1:7" ht="22.05" customHeight="1" x14ac:dyDescent="0.3">
      <c r="A65" s="7">
        <v>261</v>
      </c>
      <c r="B65" s="8" t="s">
        <v>605</v>
      </c>
      <c r="C65" s="9" t="s">
        <v>606</v>
      </c>
      <c r="D65" s="7" t="s">
        <v>337</v>
      </c>
      <c r="E65" s="10">
        <v>6.6</v>
      </c>
      <c r="F65" s="10">
        <v>10</v>
      </c>
      <c r="G65" s="3" t="str">
        <f>HYPERLINK("https://www.shiprocket.in/careers/", "Apply / Careers ↗")</f>
        <v>Apply / Careers ↗</v>
      </c>
    </row>
    <row r="66" spans="1:7" ht="22.05" customHeight="1" x14ac:dyDescent="0.3">
      <c r="A66" s="11">
        <v>262</v>
      </c>
      <c r="B66" s="12" t="s">
        <v>607</v>
      </c>
      <c r="C66" s="13" t="s">
        <v>608</v>
      </c>
      <c r="D66" s="11" t="s">
        <v>337</v>
      </c>
      <c r="E66" s="14">
        <v>6.6</v>
      </c>
      <c r="F66" s="14">
        <v>10</v>
      </c>
      <c r="G66" s="2" t="str">
        <f>HYPERLINK("https://www.shadowfax.in/careers", "Apply / Careers ↗")</f>
        <v>Apply / Careers ↗</v>
      </c>
    </row>
    <row r="67" spans="1:7" ht="22.05" customHeight="1" x14ac:dyDescent="0.3">
      <c r="A67" s="7">
        <v>263</v>
      </c>
      <c r="B67" s="8" t="s">
        <v>609</v>
      </c>
      <c r="C67" s="9" t="s">
        <v>610</v>
      </c>
      <c r="D67" s="7" t="s">
        <v>337</v>
      </c>
      <c r="E67" s="10">
        <v>6.6</v>
      </c>
      <c r="F67" s="10">
        <v>10</v>
      </c>
      <c r="G67" s="3" t="str">
        <f>HYPERLINK("https://porter.in/careers", "Apply / Careers ↗")</f>
        <v>Apply / Careers ↗</v>
      </c>
    </row>
    <row r="68" spans="1:7" ht="22.05" customHeight="1" x14ac:dyDescent="0.3">
      <c r="A68" s="11">
        <v>264</v>
      </c>
      <c r="B68" s="12" t="s">
        <v>611</v>
      </c>
      <c r="C68" s="13" t="s">
        <v>612</v>
      </c>
      <c r="D68" s="11" t="s">
        <v>337</v>
      </c>
      <c r="E68" s="14">
        <v>6.6</v>
      </c>
      <c r="F68" s="14">
        <v>10</v>
      </c>
      <c r="G68" s="2" t="str">
        <f>HYPERLINK("https://www.blackbuck.com/careers.html", "Apply / Careers ↗")</f>
        <v>Apply / Careers ↗</v>
      </c>
    </row>
    <row r="69" spans="1:7" ht="22.05" customHeight="1" x14ac:dyDescent="0.3">
      <c r="A69" s="7">
        <v>265</v>
      </c>
      <c r="B69" s="8" t="s">
        <v>613</v>
      </c>
      <c r="C69" s="9" t="s">
        <v>614</v>
      </c>
      <c r="D69" s="7" t="s">
        <v>345</v>
      </c>
      <c r="E69" s="10">
        <v>6</v>
      </c>
      <c r="F69" s="10">
        <v>9</v>
      </c>
      <c r="G69" s="3" t="str">
        <f>HYPERLINK("https://www.rivigo.com/careers", "Apply / Careers ↗")</f>
        <v>Apply / Careers ↗</v>
      </c>
    </row>
    <row r="70" spans="1:7" ht="22.05" customHeight="1" x14ac:dyDescent="0.3">
      <c r="A70" s="11">
        <v>266</v>
      </c>
      <c r="B70" s="12" t="s">
        <v>615</v>
      </c>
      <c r="C70" s="13" t="s">
        <v>616</v>
      </c>
      <c r="D70" s="11" t="s">
        <v>353</v>
      </c>
      <c r="E70" s="14">
        <v>5.8</v>
      </c>
      <c r="F70" s="14">
        <v>8.6</v>
      </c>
      <c r="G70" s="2" t="str">
        <f>HYPERLINK("https://ecomexpress.in/careers/", "Apply / Careers ↗")</f>
        <v>Apply / Careers ↗</v>
      </c>
    </row>
    <row r="71" spans="1:7" ht="22.05" customHeight="1" x14ac:dyDescent="0.3">
      <c r="A71" s="7">
        <v>267</v>
      </c>
      <c r="B71" s="8" t="s">
        <v>617</v>
      </c>
      <c r="C71" s="9" t="s">
        <v>618</v>
      </c>
      <c r="D71" s="7" t="s">
        <v>345</v>
      </c>
      <c r="E71" s="10">
        <v>6</v>
      </c>
      <c r="F71" s="10">
        <v>9</v>
      </c>
      <c r="G71" s="3" t="str">
        <f>HYPERLINK("https://www.xpressbees.com/careers", "Apply / Careers ↗")</f>
        <v>Apply / Careers ↗</v>
      </c>
    </row>
    <row r="72" spans="1:7" ht="22.05" customHeight="1" x14ac:dyDescent="0.3">
      <c r="A72" s="11">
        <v>268</v>
      </c>
      <c r="B72" s="12" t="s">
        <v>619</v>
      </c>
      <c r="C72" s="13" t="s">
        <v>620</v>
      </c>
      <c r="D72" s="11" t="s">
        <v>353</v>
      </c>
      <c r="E72" s="14">
        <v>5.8</v>
      </c>
      <c r="F72" s="14">
        <v>8.6</v>
      </c>
      <c r="G72" s="2" t="str">
        <f>HYPERLINK("https://www.bluedart.com/careers", "Apply / Careers ↗")</f>
        <v>Apply / Careers ↗</v>
      </c>
    </row>
    <row r="73" spans="1:7" ht="22.05" customHeight="1" x14ac:dyDescent="0.3">
      <c r="A73" s="7">
        <v>269</v>
      </c>
      <c r="B73" s="8" t="s">
        <v>621</v>
      </c>
      <c r="C73" s="9" t="s">
        <v>622</v>
      </c>
      <c r="D73" s="7" t="s">
        <v>387</v>
      </c>
      <c r="E73" s="10">
        <v>5.3</v>
      </c>
      <c r="F73" s="10">
        <v>8</v>
      </c>
      <c r="G73" s="3" t="str">
        <f>HYPERLINK("https://www.allcargologistics.com/careers", "Apply / Careers ↗")</f>
        <v>Apply / Careers ↗</v>
      </c>
    </row>
    <row r="74" spans="1:7" ht="22.05" customHeight="1" x14ac:dyDescent="0.3">
      <c r="A74" s="11">
        <v>270</v>
      </c>
      <c r="B74" s="12" t="s">
        <v>623</v>
      </c>
      <c r="C74" s="13" t="s">
        <v>624</v>
      </c>
      <c r="D74" s="11" t="s">
        <v>482</v>
      </c>
      <c r="E74" s="14">
        <v>5.2</v>
      </c>
      <c r="F74" s="14">
        <v>7.8</v>
      </c>
      <c r="G74" s="2" t="str">
        <f>HYPERLINK("https://www.tciexpress.in/careers.aspx", "Apply / Careers ↗")</f>
        <v>Apply / Careers ↗</v>
      </c>
    </row>
    <row r="75" spans="1:7" ht="22.05" customHeight="1" x14ac:dyDescent="0.3">
      <c r="A75" s="7">
        <v>271</v>
      </c>
      <c r="B75" s="8" t="s">
        <v>625</v>
      </c>
      <c r="C75" s="9" t="s">
        <v>626</v>
      </c>
      <c r="D75" s="7" t="s">
        <v>446</v>
      </c>
      <c r="E75" s="10">
        <v>5</v>
      </c>
      <c r="F75" s="10">
        <v>7.6</v>
      </c>
      <c r="G75" s="3" t="str">
        <f>HYPERLINK("https://www.vtransgroup.com/careers", "Apply / Careers ↗")</f>
        <v>Apply / Careers ↗</v>
      </c>
    </row>
    <row r="76" spans="1:7" ht="22.05" customHeight="1" x14ac:dyDescent="0.3">
      <c r="A76" s="11">
        <v>272</v>
      </c>
      <c r="B76" s="12" t="s">
        <v>627</v>
      </c>
      <c r="C76" s="13" t="s">
        <v>628</v>
      </c>
      <c r="D76" s="11" t="s">
        <v>482</v>
      </c>
      <c r="E76" s="14">
        <v>5.2</v>
      </c>
      <c r="F76" s="14">
        <v>7.8</v>
      </c>
      <c r="G76" s="2" t="str">
        <f>HYPERLINK("https://www.gati.com/careers/", "Apply / Careers ↗")</f>
        <v>Apply / Careers ↗</v>
      </c>
    </row>
    <row r="77" spans="1:7" ht="22.05" customHeight="1" x14ac:dyDescent="0.3">
      <c r="A77" s="7">
        <v>273</v>
      </c>
      <c r="B77" s="8" t="s">
        <v>629</v>
      </c>
      <c r="C77" s="9" t="s">
        <v>630</v>
      </c>
      <c r="D77" s="7" t="s">
        <v>482</v>
      </c>
      <c r="E77" s="10">
        <v>5.2</v>
      </c>
      <c r="F77" s="10">
        <v>7.8</v>
      </c>
      <c r="G77" s="3" t="str">
        <f>HYPERLINK("https://www.safexpress.com/careers", "Apply / Careers ↗")</f>
        <v>Apply / Careers ↗</v>
      </c>
    </row>
    <row r="78" spans="1:7" ht="22.05" customHeight="1" x14ac:dyDescent="0.3">
      <c r="A78" s="11">
        <v>274</v>
      </c>
      <c r="B78" s="12" t="s">
        <v>631</v>
      </c>
      <c r="C78" s="13" t="s">
        <v>632</v>
      </c>
      <c r="D78" s="11" t="s">
        <v>482</v>
      </c>
      <c r="E78" s="14">
        <v>5.2</v>
      </c>
      <c r="F78" s="14">
        <v>7.8</v>
      </c>
      <c r="G78" s="2" t="str">
        <f>HYPERLINK("https://concor.co.in/hr.asp", "Apply / Careers ↗")</f>
        <v>Apply / Careers ↗</v>
      </c>
    </row>
    <row r="79" spans="1:7" ht="22.05" customHeight="1" x14ac:dyDescent="0.3">
      <c r="A79" s="7">
        <v>275</v>
      </c>
      <c r="B79" s="8" t="s">
        <v>633</v>
      </c>
      <c r="C79" s="9" t="s">
        <v>634</v>
      </c>
      <c r="D79" s="7" t="s">
        <v>635</v>
      </c>
      <c r="E79" s="10">
        <v>5</v>
      </c>
      <c r="F79" s="10">
        <v>7.6</v>
      </c>
      <c r="G79" s="3" t="str">
        <f>HYPERLINK("https://www.gatewaydistriparks.com/careers", "Apply / Careers ↗")</f>
        <v>Apply / Careers ↗</v>
      </c>
    </row>
    <row r="80" spans="1:7" ht="22.05" customHeight="1" x14ac:dyDescent="0.3">
      <c r="A80" s="11">
        <v>276</v>
      </c>
      <c r="B80" s="12" t="s">
        <v>636</v>
      </c>
      <c r="C80" s="13" t="s">
        <v>637</v>
      </c>
      <c r="D80" s="11" t="s">
        <v>337</v>
      </c>
      <c r="E80" s="14">
        <v>6.6</v>
      </c>
      <c r="F80" s="14">
        <v>10</v>
      </c>
      <c r="G80" s="2" t="str">
        <f>HYPERLINK("https://www.rebelfoods.com/careers", "Apply / Careers ↗")</f>
        <v>Apply / Careers ↗</v>
      </c>
    </row>
    <row r="81" spans="1:7" ht="22.05" customHeight="1" x14ac:dyDescent="0.3">
      <c r="A81" s="7">
        <v>277</v>
      </c>
      <c r="B81" s="8" t="s">
        <v>638</v>
      </c>
      <c r="C81" s="9" t="s">
        <v>639</v>
      </c>
      <c r="D81" s="7" t="s">
        <v>337</v>
      </c>
      <c r="E81" s="10">
        <v>6.6</v>
      </c>
      <c r="F81" s="10">
        <v>10</v>
      </c>
      <c r="G81" s="3" t="str">
        <f>HYPERLINK("https://countrydelight.in/careers", "Apply / Careers ↗")</f>
        <v>Apply / Careers ↗</v>
      </c>
    </row>
    <row r="82" spans="1:7" ht="22.05" customHeight="1" x14ac:dyDescent="0.3">
      <c r="A82" s="11">
        <v>278</v>
      </c>
      <c r="B82" s="12" t="s">
        <v>640</v>
      </c>
      <c r="C82" s="13" t="s">
        <v>641</v>
      </c>
      <c r="D82" s="11" t="s">
        <v>337</v>
      </c>
      <c r="E82" s="14">
        <v>6.6</v>
      </c>
      <c r="F82" s="14">
        <v>10</v>
      </c>
      <c r="G82" s="2" t="str">
        <f>HYPERLINK("https://www.licious.in/careers", "Apply / Careers ↗")</f>
        <v>Apply / Careers ↗</v>
      </c>
    </row>
    <row r="83" spans="1:7" ht="22.05" customHeight="1" x14ac:dyDescent="0.3">
      <c r="A83" s="7">
        <v>279</v>
      </c>
      <c r="B83" s="8" t="s">
        <v>642</v>
      </c>
      <c r="C83" s="9" t="s">
        <v>643</v>
      </c>
      <c r="D83" s="7" t="s">
        <v>340</v>
      </c>
      <c r="E83" s="10">
        <v>6.2</v>
      </c>
      <c r="F83" s="10">
        <v>9.1999999999999993</v>
      </c>
      <c r="G83" s="3" t="str">
        <f>HYPERLINK("https://www.freshtohome.com/careers", "Apply / Careers ↗")</f>
        <v>Apply / Careers ↗</v>
      </c>
    </row>
    <row r="84" spans="1:7" ht="22.05" customHeight="1" x14ac:dyDescent="0.3">
      <c r="A84" s="11">
        <v>280</v>
      </c>
      <c r="B84" s="12" t="s">
        <v>644</v>
      </c>
      <c r="C84" s="13" t="s">
        <v>645</v>
      </c>
      <c r="D84" s="11" t="s">
        <v>340</v>
      </c>
      <c r="E84" s="14">
        <v>6.2</v>
      </c>
      <c r="F84" s="14">
        <v>9.1999999999999993</v>
      </c>
      <c r="G84" s="2" t="str">
        <f>HYPERLINK("https://curefoods.in/careers", "Apply / Careers ↗")</f>
        <v>Apply / Careers ↗</v>
      </c>
    </row>
    <row r="85" spans="1:7" ht="22.05" customHeight="1" x14ac:dyDescent="0.3">
      <c r="A85" s="7">
        <v>281</v>
      </c>
      <c r="B85" s="8" t="s">
        <v>646</v>
      </c>
      <c r="C85" s="9" t="s">
        <v>647</v>
      </c>
      <c r="D85" s="7" t="s">
        <v>345</v>
      </c>
      <c r="E85" s="10">
        <v>6</v>
      </c>
      <c r="F85" s="10">
        <v>9</v>
      </c>
      <c r="G85" s="3" t="str">
        <f>HYPERLINK("https://www.eatclub.com/careers", "Apply / Careers ↗")</f>
        <v>Apply / Careers ↗</v>
      </c>
    </row>
    <row r="86" spans="1:7" ht="22.05" customHeight="1" x14ac:dyDescent="0.3">
      <c r="A86" s="11">
        <v>282</v>
      </c>
      <c r="B86" s="12" t="s">
        <v>648</v>
      </c>
      <c r="C86" s="13" t="s">
        <v>649</v>
      </c>
      <c r="D86" s="11" t="s">
        <v>353</v>
      </c>
      <c r="E86" s="14">
        <v>5.8</v>
      </c>
      <c r="F86" s="14">
        <v>8.6</v>
      </c>
      <c r="G86" s="2" t="str">
        <f>HYPERLINK("https://chaipoint.com/careers", "Apply / Careers ↗")</f>
        <v>Apply / Careers ↗</v>
      </c>
    </row>
    <row r="87" spans="1:7" ht="22.05" customHeight="1" x14ac:dyDescent="0.3">
      <c r="A87" s="7">
        <v>283</v>
      </c>
      <c r="B87" s="8" t="s">
        <v>650</v>
      </c>
      <c r="C87" s="9" t="s">
        <v>651</v>
      </c>
      <c r="D87" s="7" t="s">
        <v>353</v>
      </c>
      <c r="E87" s="10">
        <v>5.8</v>
      </c>
      <c r="F87" s="10">
        <v>8.6</v>
      </c>
      <c r="G87" s="3" t="str">
        <f>HYPERLINK("https://chaayos.com/careers/", "Apply / Careers ↗")</f>
        <v>Apply / Careers ↗</v>
      </c>
    </row>
    <row r="88" spans="1:7" ht="22.05" customHeight="1" x14ac:dyDescent="0.3">
      <c r="A88" s="11">
        <v>284</v>
      </c>
      <c r="B88" s="12" t="s">
        <v>652</v>
      </c>
      <c r="C88" s="13" t="s">
        <v>653</v>
      </c>
      <c r="D88" s="11" t="s">
        <v>387</v>
      </c>
      <c r="E88" s="14">
        <v>5.3</v>
      </c>
      <c r="F88" s="14">
        <v>8</v>
      </c>
      <c r="G88" s="2" t="str">
        <f>HYPERLINK("https://dil-rjcorp.com/careers/", "Apply / Careers ↗")</f>
        <v>Apply / Careers ↗</v>
      </c>
    </row>
    <row r="89" spans="1:7" ht="22.05" customHeight="1" x14ac:dyDescent="0.3">
      <c r="A89" s="7">
        <v>285</v>
      </c>
      <c r="B89" s="8" t="s">
        <v>654</v>
      </c>
      <c r="C89" s="9" t="s">
        <v>655</v>
      </c>
      <c r="D89" s="7" t="s">
        <v>340</v>
      </c>
      <c r="E89" s="10">
        <v>6.2</v>
      </c>
      <c r="F89" s="10">
        <v>9.1999999999999993</v>
      </c>
      <c r="G89" s="3" t="str">
        <f>HYPERLINK("https://www.jubilantfoodworks.com/careers", "Apply / Careers ↗")</f>
        <v>Apply / Careers ↗</v>
      </c>
    </row>
    <row r="90" spans="1:7" ht="22.05" customHeight="1" x14ac:dyDescent="0.3">
      <c r="A90" s="11">
        <v>286</v>
      </c>
      <c r="B90" s="12" t="s">
        <v>656</v>
      </c>
      <c r="C90" s="13" t="s">
        <v>657</v>
      </c>
      <c r="D90" s="11" t="s">
        <v>353</v>
      </c>
      <c r="E90" s="14">
        <v>5.8</v>
      </c>
      <c r="F90" s="14">
        <v>8.6</v>
      </c>
      <c r="G90" s="2" t="str">
        <f>HYPERLINK("https://westlife.co.in/careers/", "Apply / Careers ↗")</f>
        <v>Apply / Careers ↗</v>
      </c>
    </row>
    <row r="91" spans="1:7" ht="22.05" customHeight="1" x14ac:dyDescent="0.3">
      <c r="A91" s="7">
        <v>287</v>
      </c>
      <c r="B91" s="8" t="s">
        <v>658</v>
      </c>
      <c r="C91" s="9" t="s">
        <v>659</v>
      </c>
      <c r="D91" s="7" t="s">
        <v>387</v>
      </c>
      <c r="E91" s="10">
        <v>5.3</v>
      </c>
      <c r="F91" s="10">
        <v>8</v>
      </c>
      <c r="G91" s="3" t="str">
        <f>HYPERLINK("https://www.sapphirefoods.in/careers", "Apply / Careers ↗")</f>
        <v>Apply / Careers ↗</v>
      </c>
    </row>
    <row r="92" spans="1:7" ht="22.05" customHeight="1" x14ac:dyDescent="0.3">
      <c r="A92" s="11">
        <v>288</v>
      </c>
      <c r="B92" s="12" t="s">
        <v>660</v>
      </c>
      <c r="C92" s="13" t="s">
        <v>661</v>
      </c>
      <c r="D92" s="11" t="s">
        <v>384</v>
      </c>
      <c r="E92" s="14">
        <v>5.5</v>
      </c>
      <c r="F92" s="14">
        <v>8.1999999999999993</v>
      </c>
      <c r="G92" s="2" t="str">
        <f>HYPERLINK("https://www.burgerking.in/careers", "Apply / Careers ↗")</f>
        <v>Apply / Careers ↗</v>
      </c>
    </row>
    <row r="93" spans="1:7" ht="22.05" customHeight="1" x14ac:dyDescent="0.3">
      <c r="A93" s="7">
        <v>289</v>
      </c>
      <c r="B93" s="8" t="s">
        <v>662</v>
      </c>
      <c r="C93" s="9" t="s">
        <v>663</v>
      </c>
      <c r="D93" s="7" t="s">
        <v>446</v>
      </c>
      <c r="E93" s="10">
        <v>5</v>
      </c>
      <c r="F93" s="10">
        <v>7.6</v>
      </c>
      <c r="G93" s="3" t="str">
        <f>HYPERLINK("https://www.speciality.co.in/careers.html", "Apply / Careers ↗")</f>
        <v>Apply / Careers ↗</v>
      </c>
    </row>
    <row r="94" spans="1:7" ht="22.05" customHeight="1" x14ac:dyDescent="0.3">
      <c r="A94" s="11">
        <v>290</v>
      </c>
      <c r="B94" s="12" t="s">
        <v>664</v>
      </c>
      <c r="C94" s="13" t="s">
        <v>665</v>
      </c>
      <c r="D94" s="11" t="s">
        <v>482</v>
      </c>
      <c r="E94" s="14">
        <v>5.2</v>
      </c>
      <c r="F94" s="14">
        <v>7.8</v>
      </c>
      <c r="G94" s="2" t="str">
        <f>HYPERLINK("https://www.barbequenation.com/careers", "Apply / Careers ↗")</f>
        <v>Apply / Careers ↗</v>
      </c>
    </row>
    <row r="95" spans="1:7" ht="22.05" customHeight="1" x14ac:dyDescent="0.3">
      <c r="A95" s="7">
        <v>291</v>
      </c>
      <c r="B95" s="8" t="s">
        <v>666</v>
      </c>
      <c r="C95" s="9" t="s">
        <v>667</v>
      </c>
      <c r="D95" s="7" t="s">
        <v>337</v>
      </c>
      <c r="E95" s="10">
        <v>6.6</v>
      </c>
      <c r="F95" s="10">
        <v>10</v>
      </c>
      <c r="G95" s="3" t="str">
        <f>HYPERLINK("https://www.titancompany.in/careers", "Apply / Careers ↗")</f>
        <v>Apply / Careers ↗</v>
      </c>
    </row>
    <row r="96" spans="1:7" ht="22.05" customHeight="1" x14ac:dyDescent="0.3">
      <c r="A96" s="11">
        <v>292</v>
      </c>
      <c r="B96" s="12" t="s">
        <v>668</v>
      </c>
      <c r="C96" s="13" t="s">
        <v>669</v>
      </c>
      <c r="D96" s="11" t="s">
        <v>387</v>
      </c>
      <c r="E96" s="14">
        <v>5.3</v>
      </c>
      <c r="F96" s="14">
        <v>8</v>
      </c>
      <c r="G96" s="2" t="str">
        <f>HYPERLINK("https://www.kalyanjewellers.net/careers.php", "Apply / Careers ↗")</f>
        <v>Apply / Careers ↗</v>
      </c>
    </row>
    <row r="97" spans="1:7" ht="22.05" customHeight="1" x14ac:dyDescent="0.3">
      <c r="A97" s="7">
        <v>293</v>
      </c>
      <c r="B97" s="8" t="s">
        <v>670</v>
      </c>
      <c r="C97" s="9" t="s">
        <v>671</v>
      </c>
      <c r="D97" s="7" t="s">
        <v>387</v>
      </c>
      <c r="E97" s="10">
        <v>5.3</v>
      </c>
      <c r="F97" s="10">
        <v>8</v>
      </c>
      <c r="G97" s="3" t="str">
        <f>HYPERLINK("https://www.malabargoldanddiamonds.com/careers", "Apply / Careers ↗")</f>
        <v>Apply / Careers ↗</v>
      </c>
    </row>
    <row r="98" spans="1:7" ht="22.05" customHeight="1" x14ac:dyDescent="0.3">
      <c r="A98" s="11">
        <v>294</v>
      </c>
      <c r="B98" s="12" t="s">
        <v>672</v>
      </c>
      <c r="C98" s="13" t="s">
        <v>673</v>
      </c>
      <c r="D98" s="11" t="s">
        <v>482</v>
      </c>
      <c r="E98" s="14">
        <v>5.2</v>
      </c>
      <c r="F98" s="14">
        <v>7.8</v>
      </c>
      <c r="G98" s="2" t="str">
        <f>HYPERLINK("https://www.joyalukkas.in/careers", "Apply / Careers ↗")</f>
        <v>Apply / Careers ↗</v>
      </c>
    </row>
    <row r="99" spans="1:7" ht="22.05" customHeight="1" x14ac:dyDescent="0.3">
      <c r="A99" s="7">
        <v>295</v>
      </c>
      <c r="B99" s="8" t="s">
        <v>674</v>
      </c>
      <c r="C99" s="9" t="s">
        <v>675</v>
      </c>
      <c r="D99" s="7" t="s">
        <v>446</v>
      </c>
      <c r="E99" s="10">
        <v>5</v>
      </c>
      <c r="F99" s="10">
        <v>7.6</v>
      </c>
      <c r="G99" s="3" t="str">
        <f>HYPERLINK("https://sencogoldanddiamonds.com/careers", "Apply / Careers ↗")</f>
        <v>Apply / Careers ↗</v>
      </c>
    </row>
    <row r="100" spans="1:7" ht="22.05" customHeight="1" x14ac:dyDescent="0.3">
      <c r="A100" s="11">
        <v>296</v>
      </c>
      <c r="B100" s="12" t="s">
        <v>676</v>
      </c>
      <c r="C100" s="13" t="s">
        <v>677</v>
      </c>
      <c r="D100" s="11" t="s">
        <v>337</v>
      </c>
      <c r="E100" s="14">
        <v>6.6</v>
      </c>
      <c r="F100" s="14">
        <v>10</v>
      </c>
      <c r="G100" s="2" t="str">
        <f>HYPERLINK("https://trentlimited.com/pages/careers", "Apply / Careers ↗")</f>
        <v>Apply / Careers ↗</v>
      </c>
    </row>
    <row r="101" spans="1:7" ht="22.05" customHeight="1" x14ac:dyDescent="0.3">
      <c r="A101" s="7">
        <v>297</v>
      </c>
      <c r="B101" s="8" t="s">
        <v>678</v>
      </c>
      <c r="C101" s="9" t="s">
        <v>679</v>
      </c>
      <c r="D101" s="7" t="s">
        <v>340</v>
      </c>
      <c r="E101" s="10">
        <v>6.2</v>
      </c>
      <c r="F101" s="10">
        <v>9.1999999999999993</v>
      </c>
      <c r="G101" s="3" t="str">
        <f>HYPERLINK("https://www.abfrl.com/careers/", "Apply / Careers ↗")</f>
        <v>Apply / Careers ↗</v>
      </c>
    </row>
    <row r="102" spans="1:7" ht="22.05" customHeight="1" x14ac:dyDescent="0.3">
      <c r="A102" s="11">
        <v>298</v>
      </c>
      <c r="B102" s="12" t="s">
        <v>680</v>
      </c>
      <c r="C102" s="13" t="s">
        <v>681</v>
      </c>
      <c r="D102" s="11" t="s">
        <v>384</v>
      </c>
      <c r="E102" s="14">
        <v>5.5</v>
      </c>
      <c r="F102" s="14">
        <v>8.1999999999999993</v>
      </c>
      <c r="G102" s="2" t="str">
        <f>HYPERLINK("https://www.shoppersstop.com/careers", "Apply / Careers ↗")</f>
        <v>Apply / Careers ↗</v>
      </c>
    </row>
    <row r="103" spans="1:7" ht="22.05" customHeight="1" x14ac:dyDescent="0.3">
      <c r="A103" s="7">
        <v>299</v>
      </c>
      <c r="B103" s="8" t="s">
        <v>682</v>
      </c>
      <c r="C103" s="9" t="s">
        <v>683</v>
      </c>
      <c r="D103" s="7" t="s">
        <v>384</v>
      </c>
      <c r="E103" s="10">
        <v>5.5</v>
      </c>
      <c r="F103" s="10">
        <v>8.1999999999999993</v>
      </c>
      <c r="G103" s="3" t="str">
        <f>HYPERLINK("https://www.lifestylestores.com/in/en/careers", "Apply / Careers ↗")</f>
        <v>Apply / Careers ↗</v>
      </c>
    </row>
    <row r="104" spans="1:7" ht="22.05" customHeight="1" x14ac:dyDescent="0.3">
      <c r="A104" s="11">
        <v>300</v>
      </c>
      <c r="B104" s="12" t="s">
        <v>684</v>
      </c>
      <c r="C104" s="13" t="s">
        <v>685</v>
      </c>
      <c r="D104" s="11" t="s">
        <v>340</v>
      </c>
      <c r="E104" s="14">
        <v>6.2</v>
      </c>
      <c r="F104" s="14">
        <v>9.1999999999999993</v>
      </c>
      <c r="G104" s="2" t="str">
        <f>HYPERLINK("https://www.relianceretail.com/careers.html", "Apply / Careers ↗")</f>
        <v>Apply / Careers ↗</v>
      </c>
    </row>
    <row r="105" spans="1:7" ht="22.05" customHeight="1" x14ac:dyDescent="0.3">
      <c r="A105" s="7">
        <v>301</v>
      </c>
      <c r="B105" s="8" t="s">
        <v>686</v>
      </c>
      <c r="C105" s="9" t="s">
        <v>687</v>
      </c>
      <c r="D105" s="7" t="s">
        <v>337</v>
      </c>
      <c r="E105" s="10">
        <v>6.6</v>
      </c>
      <c r="F105" s="10">
        <v>10</v>
      </c>
      <c r="G105" s="3" t="str">
        <f>HYPERLINK("https://www.boat-lifestyle.com/pages/careers", "Apply / Careers ↗")</f>
        <v>Apply / Careers ↗</v>
      </c>
    </row>
    <row r="106" spans="1:7" ht="22.05" customHeight="1" x14ac:dyDescent="0.3">
      <c r="A106" s="11">
        <v>302</v>
      </c>
      <c r="B106" s="12" t="s">
        <v>688</v>
      </c>
      <c r="C106" s="13" t="s">
        <v>689</v>
      </c>
      <c r="D106" s="11" t="s">
        <v>340</v>
      </c>
      <c r="E106" s="14">
        <v>6.2</v>
      </c>
      <c r="F106" s="14">
        <v>9.1999999999999993</v>
      </c>
      <c r="G106" s="2" t="str">
        <f>HYPERLINK("https://www.gonoise.com/pages/careers", "Apply / Careers ↗")</f>
        <v>Apply / Careers ↗</v>
      </c>
    </row>
    <row r="107" spans="1:7" ht="22.05" customHeight="1" x14ac:dyDescent="0.3">
      <c r="A107" s="7">
        <v>303</v>
      </c>
      <c r="B107" s="8" t="s">
        <v>690</v>
      </c>
      <c r="C107" s="9" t="s">
        <v>691</v>
      </c>
      <c r="D107" s="7" t="s">
        <v>345</v>
      </c>
      <c r="E107" s="10">
        <v>6</v>
      </c>
      <c r="F107" s="10">
        <v>9</v>
      </c>
      <c r="G107" s="3" t="str">
        <f>HYPERLINK("https://www.fireboltt.com/pages/careers", "Apply / Careers ↗")</f>
        <v>Apply / Careers ↗</v>
      </c>
    </row>
    <row r="108" spans="1:7" ht="22.05" customHeight="1" x14ac:dyDescent="0.3">
      <c r="A108" s="11">
        <v>304</v>
      </c>
      <c r="B108" s="12" t="s">
        <v>692</v>
      </c>
      <c r="C108" s="13" t="s">
        <v>693</v>
      </c>
      <c r="D108" s="11" t="s">
        <v>353</v>
      </c>
      <c r="E108" s="14">
        <v>5.8</v>
      </c>
      <c r="F108" s="14">
        <v>8.6</v>
      </c>
      <c r="G108" s="2" t="str">
        <f>HYPERLINK("https://boultaudio.com/pages/careers", "Apply / Careers ↗")</f>
        <v>Apply / Careers ↗</v>
      </c>
    </row>
    <row r="109" spans="1:7" ht="22.05" customHeight="1" x14ac:dyDescent="0.3">
      <c r="A109" s="7">
        <v>305</v>
      </c>
      <c r="B109" s="8" t="s">
        <v>694</v>
      </c>
      <c r="C109" s="9" t="s">
        <v>695</v>
      </c>
      <c r="D109" s="7" t="s">
        <v>387</v>
      </c>
      <c r="E109" s="10">
        <v>5.3</v>
      </c>
      <c r="F109" s="10">
        <v>8</v>
      </c>
      <c r="G109" s="3" t="str">
        <f>HYPERLINK("https://www.portronics.com/pages/careers", "Apply / Careers ↗")</f>
        <v>Apply / Careers ↗</v>
      </c>
    </row>
    <row r="110" spans="1:7" ht="22.05" customHeight="1" x14ac:dyDescent="0.3">
      <c r="A110" s="11">
        <v>306</v>
      </c>
      <c r="B110" s="12" t="s">
        <v>696</v>
      </c>
      <c r="C110" s="13" t="s">
        <v>697</v>
      </c>
      <c r="D110" s="11" t="s">
        <v>387</v>
      </c>
      <c r="E110" s="14">
        <v>5.3</v>
      </c>
      <c r="F110" s="14">
        <v>8</v>
      </c>
      <c r="G110" s="2" t="str">
        <f>HYPERLINK("https://www.mivi.in/pages/careers", "Apply / Careers ↗")</f>
        <v>Apply / Careers ↗</v>
      </c>
    </row>
    <row r="111" spans="1:7" ht="22.05" customHeight="1" x14ac:dyDescent="0.3">
      <c r="A111" s="7">
        <v>307</v>
      </c>
      <c r="B111" s="8" t="s">
        <v>698</v>
      </c>
      <c r="C111" s="9" t="s">
        <v>699</v>
      </c>
      <c r="D111" s="7" t="s">
        <v>446</v>
      </c>
      <c r="E111" s="10">
        <v>5</v>
      </c>
      <c r="F111" s="10">
        <v>7.6</v>
      </c>
      <c r="G111" s="3" t="str">
        <f>HYPERLINK("https://zebronics.com/pages/careers", "Apply / Careers ↗")</f>
        <v>Apply / Careers ↗</v>
      </c>
    </row>
    <row r="112" spans="1:7" ht="22.05" customHeight="1" x14ac:dyDescent="0.3">
      <c r="A112" s="11">
        <v>308</v>
      </c>
      <c r="B112" s="12" t="s">
        <v>700</v>
      </c>
      <c r="C112" s="13" t="s">
        <v>701</v>
      </c>
      <c r="D112" s="11" t="s">
        <v>446</v>
      </c>
      <c r="E112" s="14">
        <v>5</v>
      </c>
      <c r="F112" s="14">
        <v>7.6</v>
      </c>
      <c r="G112" s="2" t="str">
        <f>HYPERLINK("https://ambraneindia.com/pages/careers", "Apply / Careers ↗")</f>
        <v>Apply / Careers ↗</v>
      </c>
    </row>
    <row r="113" spans="1:7" ht="22.05" customHeight="1" x14ac:dyDescent="0.3">
      <c r="A113" s="7">
        <v>309</v>
      </c>
      <c r="B113" s="8" t="s">
        <v>702</v>
      </c>
      <c r="C113" s="9" t="s">
        <v>703</v>
      </c>
      <c r="D113" s="7" t="s">
        <v>471</v>
      </c>
      <c r="E113" s="10">
        <v>5</v>
      </c>
      <c r="F113" s="10">
        <v>7.5</v>
      </c>
      <c r="G113" s="3" t="str">
        <f>HYPERLINK("https://syska.co.in/careers", "Apply / Careers ↗")</f>
        <v>Apply / Careers ↗</v>
      </c>
    </row>
    <row r="114" spans="1:7" ht="22.05" customHeight="1" x14ac:dyDescent="0.3">
      <c r="A114" s="11">
        <v>310</v>
      </c>
      <c r="B114" s="12" t="s">
        <v>704</v>
      </c>
      <c r="C114" s="13" t="s">
        <v>705</v>
      </c>
      <c r="D114" s="11" t="s">
        <v>706</v>
      </c>
      <c r="E114" s="14">
        <v>4.8</v>
      </c>
      <c r="F114" s="14">
        <v>7.2</v>
      </c>
      <c r="G114" s="2" t="str">
        <f>HYPERLINK("https://www.intex.in/pages/careers", "Apply / Careers ↗")</f>
        <v>Apply / Careers ↗</v>
      </c>
    </row>
    <row r="115" spans="1:7" ht="22.05" customHeight="1" x14ac:dyDescent="0.3">
      <c r="A115" s="7">
        <v>311</v>
      </c>
      <c r="B115" s="8" t="s">
        <v>707</v>
      </c>
      <c r="C115" s="9" t="s">
        <v>708</v>
      </c>
      <c r="D115" s="7" t="s">
        <v>337</v>
      </c>
      <c r="E115" s="10">
        <v>6.6</v>
      </c>
      <c r="F115" s="10">
        <v>10</v>
      </c>
      <c r="G115" s="3" t="str">
        <f>HYPERLINK("https://honasa.in/careers/", "Apply / Careers ↗")</f>
        <v>Apply / Careers ↗</v>
      </c>
    </row>
    <row r="116" spans="1:7" ht="22.05" customHeight="1" x14ac:dyDescent="0.3">
      <c r="A116" s="11">
        <v>312</v>
      </c>
      <c r="B116" s="12" t="s">
        <v>709</v>
      </c>
      <c r="C116" s="13" t="s">
        <v>710</v>
      </c>
      <c r="D116" s="11" t="s">
        <v>340</v>
      </c>
      <c r="E116" s="14">
        <v>6.2</v>
      </c>
      <c r="F116" s="14">
        <v>9.1999999999999993</v>
      </c>
      <c r="G116" s="2" t="str">
        <f>HYPERLINK("https://in.sugarcosmetics.com/pages/careers", "Apply / Careers ↗")</f>
        <v>Apply / Careers ↗</v>
      </c>
    </row>
    <row r="117" spans="1:7" ht="22.05" customHeight="1" x14ac:dyDescent="0.3">
      <c r="A117" s="7">
        <v>313</v>
      </c>
      <c r="B117" s="8" t="s">
        <v>711</v>
      </c>
      <c r="C117" s="9" t="s">
        <v>712</v>
      </c>
      <c r="D117" s="7" t="s">
        <v>345</v>
      </c>
      <c r="E117" s="10">
        <v>6</v>
      </c>
      <c r="F117" s="10">
        <v>9</v>
      </c>
      <c r="G117" s="3" t="str">
        <f>HYPERLINK("https://plumgoodness.com/pages/careers", "Apply / Careers ↗")</f>
        <v>Apply / Careers ↗</v>
      </c>
    </row>
    <row r="118" spans="1:7" ht="22.05" customHeight="1" x14ac:dyDescent="0.3">
      <c r="A118" s="11">
        <v>314</v>
      </c>
      <c r="B118" s="12" t="s">
        <v>713</v>
      </c>
      <c r="C118" s="13" t="s">
        <v>714</v>
      </c>
      <c r="D118" s="11" t="s">
        <v>353</v>
      </c>
      <c r="E118" s="14">
        <v>5.8</v>
      </c>
      <c r="F118" s="14">
        <v>8.6</v>
      </c>
      <c r="G118" s="2" t="str">
        <f>HYPERLINK("https://www.mcaffeine.com/pages/careers", "Apply / Careers ↗")</f>
        <v>Apply / Careers ↗</v>
      </c>
    </row>
    <row r="119" spans="1:7" ht="22.05" customHeight="1" x14ac:dyDescent="0.3">
      <c r="A119" s="7">
        <v>315</v>
      </c>
      <c r="B119" s="8" t="s">
        <v>715</v>
      </c>
      <c r="C119" s="9" t="s">
        <v>716</v>
      </c>
      <c r="D119" s="7" t="s">
        <v>345</v>
      </c>
      <c r="E119" s="10">
        <v>6</v>
      </c>
      <c r="F119" s="10">
        <v>9</v>
      </c>
      <c r="G119" s="3" t="str">
        <f>HYPERLINK("https://thedermaco.com/pages/careers", "Apply / Careers ↗")</f>
        <v>Apply / Careers ↗</v>
      </c>
    </row>
    <row r="120" spans="1:7" ht="22.05" customHeight="1" x14ac:dyDescent="0.3">
      <c r="A120" s="11">
        <v>316</v>
      </c>
      <c r="B120" s="12" t="s">
        <v>717</v>
      </c>
      <c r="C120" s="13" t="s">
        <v>718</v>
      </c>
      <c r="D120" s="11" t="s">
        <v>353</v>
      </c>
      <c r="E120" s="14">
        <v>5.8</v>
      </c>
      <c r="F120" s="14">
        <v>8.6</v>
      </c>
      <c r="G120" s="2" t="str">
        <f>HYPERLINK("https://aqualogica.in/pages/careers", "Apply / Careers ↗")</f>
        <v>Apply / Careers ↗</v>
      </c>
    </row>
    <row r="121" spans="1:7" ht="22.05" customHeight="1" x14ac:dyDescent="0.3">
      <c r="A121" s="7">
        <v>317</v>
      </c>
      <c r="B121" s="8" t="s">
        <v>719</v>
      </c>
      <c r="C121" s="9" t="s">
        <v>720</v>
      </c>
      <c r="D121" s="7" t="s">
        <v>340</v>
      </c>
      <c r="E121" s="10">
        <v>6.2</v>
      </c>
      <c r="F121" s="10">
        <v>9.1999999999999993</v>
      </c>
      <c r="G121" s="3" t="str">
        <f>HYPERLINK("https://beminimalist.co/pages/careers", "Apply / Careers ↗")</f>
        <v>Apply / Careers ↗</v>
      </c>
    </row>
    <row r="122" spans="1:7" ht="22.05" customHeight="1" x14ac:dyDescent="0.3">
      <c r="A122" s="11">
        <v>318</v>
      </c>
      <c r="B122" s="12" t="s">
        <v>721</v>
      </c>
      <c r="C122" s="13" t="s">
        <v>722</v>
      </c>
      <c r="D122" s="11" t="s">
        <v>353</v>
      </c>
      <c r="E122" s="14">
        <v>5.8</v>
      </c>
      <c r="F122" s="14">
        <v>8.6</v>
      </c>
      <c r="G122" s="2" t="str">
        <f>HYPERLINK("https://www.buywow.in/pages/careers", "Apply / Careers ↗")</f>
        <v>Apply / Careers ↗</v>
      </c>
    </row>
    <row r="123" spans="1:7" ht="22.05" customHeight="1" x14ac:dyDescent="0.3">
      <c r="A123" s="7">
        <v>319</v>
      </c>
      <c r="B123" s="8" t="s">
        <v>723</v>
      </c>
      <c r="C123" s="9" t="s">
        <v>724</v>
      </c>
      <c r="D123" s="7" t="s">
        <v>353</v>
      </c>
      <c r="E123" s="10">
        <v>5.8</v>
      </c>
      <c r="F123" s="10">
        <v>8.6</v>
      </c>
      <c r="G123" s="3" t="str">
        <f>HYPERLINK("https://www.dotandkey.com/pages/careers", "Apply / Careers ↗")</f>
        <v>Apply / Careers ↗</v>
      </c>
    </row>
    <row r="124" spans="1:7" ht="22.05" customHeight="1" x14ac:dyDescent="0.3">
      <c r="A124" s="11">
        <v>320</v>
      </c>
      <c r="B124" s="12" t="s">
        <v>725</v>
      </c>
      <c r="C124" s="13" t="s">
        <v>726</v>
      </c>
      <c r="D124" s="11" t="s">
        <v>353</v>
      </c>
      <c r="E124" s="14">
        <v>5.8</v>
      </c>
      <c r="F124" s="14">
        <v>8.6</v>
      </c>
      <c r="G124" s="2" t="str">
        <f>HYPERLINK("https://foxtale.in/pages/careers", "Apply / Careers ↗")</f>
        <v>Apply / Careers ↗</v>
      </c>
    </row>
    <row r="125" spans="1:7" ht="22.05" customHeight="1" x14ac:dyDescent="0.3">
      <c r="A125" s="7">
        <v>321</v>
      </c>
      <c r="B125" s="8" t="s">
        <v>727</v>
      </c>
      <c r="C125" s="9" t="s">
        <v>728</v>
      </c>
      <c r="D125" s="7" t="s">
        <v>340</v>
      </c>
      <c r="E125" s="10">
        <v>6.2</v>
      </c>
      <c r="F125" s="10">
        <v>9.1999999999999993</v>
      </c>
      <c r="G125" s="3" t="str">
        <f>HYPERLINK("https://www.wakefit.co/careers/", "Apply / Careers ↗")</f>
        <v>Apply / Careers ↗</v>
      </c>
    </row>
    <row r="126" spans="1:7" ht="22.05" customHeight="1" x14ac:dyDescent="0.3">
      <c r="A126" s="11">
        <v>322</v>
      </c>
      <c r="B126" s="12" t="s">
        <v>729</v>
      </c>
      <c r="C126" s="13" t="s">
        <v>730</v>
      </c>
      <c r="D126" s="11" t="s">
        <v>387</v>
      </c>
      <c r="E126" s="14">
        <v>5.3</v>
      </c>
      <c r="F126" s="14">
        <v>8</v>
      </c>
      <c r="G126" s="2" t="str">
        <f>HYPERLINK("https://www.sheelafoam.com/careers.html", "Apply / Careers ↗")</f>
        <v>Apply / Careers ↗</v>
      </c>
    </row>
    <row r="127" spans="1:7" ht="22.05" customHeight="1" x14ac:dyDescent="0.3">
      <c r="A127" s="7">
        <v>323</v>
      </c>
      <c r="B127" s="8" t="s">
        <v>731</v>
      </c>
      <c r="C127" s="9" t="s">
        <v>732</v>
      </c>
      <c r="D127" s="7" t="s">
        <v>482</v>
      </c>
      <c r="E127" s="10">
        <v>5.2</v>
      </c>
      <c r="F127" s="10">
        <v>7.8</v>
      </c>
      <c r="G127" s="3" t="str">
        <f>HYPERLINK("https://kurlon.com/careers", "Apply / Careers ↗")</f>
        <v>Apply / Careers ↗</v>
      </c>
    </row>
    <row r="128" spans="1:7" ht="22.05" customHeight="1" x14ac:dyDescent="0.3">
      <c r="A128" s="11">
        <v>324</v>
      </c>
      <c r="B128" s="12" t="s">
        <v>733</v>
      </c>
      <c r="C128" s="13" t="s">
        <v>734</v>
      </c>
      <c r="D128" s="11" t="s">
        <v>345</v>
      </c>
      <c r="E128" s="14">
        <v>6</v>
      </c>
      <c r="F128" s="14">
        <v>9</v>
      </c>
      <c r="G128" s="2" t="str">
        <f>HYPERLINK("https://thesleepcompany.in/pages/careers", "Apply / Careers ↗")</f>
        <v>Apply / Careers ↗</v>
      </c>
    </row>
    <row r="129" spans="1:7" ht="22.05" customHeight="1" x14ac:dyDescent="0.3">
      <c r="A129" s="7">
        <v>325</v>
      </c>
      <c r="B129" s="8" t="s">
        <v>735</v>
      </c>
      <c r="C129" s="9" t="s">
        <v>736</v>
      </c>
      <c r="D129" s="7" t="s">
        <v>353</v>
      </c>
      <c r="E129" s="10">
        <v>5.8</v>
      </c>
      <c r="F129" s="10">
        <v>8.6</v>
      </c>
      <c r="G129" s="3" t="str">
        <f>HYPERLINK("https://www.pepperfry.com/careers.html", "Apply / Careers ↗")</f>
        <v>Apply / Careers ↗</v>
      </c>
    </row>
    <row r="130" spans="1:7" ht="22.05" customHeight="1" x14ac:dyDescent="0.3">
      <c r="A130" s="11">
        <v>326</v>
      </c>
      <c r="B130" s="12" t="s">
        <v>737</v>
      </c>
      <c r="C130" s="13" t="s">
        <v>738</v>
      </c>
      <c r="D130" s="11" t="s">
        <v>353</v>
      </c>
      <c r="E130" s="14">
        <v>5.8</v>
      </c>
      <c r="F130" s="14">
        <v>8.6</v>
      </c>
      <c r="G130" s="2" t="str">
        <f>HYPERLINK("https://www.urbanladder.com/careers", "Apply / Careers ↗")</f>
        <v>Apply / Careers ↗</v>
      </c>
    </row>
    <row r="131" spans="1:7" ht="22.05" customHeight="1" x14ac:dyDescent="0.3">
      <c r="A131" s="7">
        <v>327</v>
      </c>
      <c r="B131" s="8" t="s">
        <v>739</v>
      </c>
      <c r="C131" s="9" t="s">
        <v>740</v>
      </c>
      <c r="D131" s="7" t="s">
        <v>353</v>
      </c>
      <c r="E131" s="10">
        <v>5.8</v>
      </c>
      <c r="F131" s="10">
        <v>8.6</v>
      </c>
      <c r="G131" s="3" t="str">
        <f>HYPERLINK("https://www.godrejinterio.com/careers", "Apply / Careers ↗")</f>
        <v>Apply / Careers ↗</v>
      </c>
    </row>
    <row r="132" spans="1:7" ht="22.05" customHeight="1" x14ac:dyDescent="0.3">
      <c r="A132" s="11">
        <v>328</v>
      </c>
      <c r="B132" s="12" t="s">
        <v>741</v>
      </c>
      <c r="C132" s="13" t="s">
        <v>742</v>
      </c>
      <c r="D132" s="11" t="s">
        <v>482</v>
      </c>
      <c r="E132" s="14">
        <v>5.2</v>
      </c>
      <c r="F132" s="14">
        <v>7.8</v>
      </c>
      <c r="G132" s="2" t="str">
        <f>HYPERLINK("https://featherlitefurniture.com/careers/", "Apply / Careers ↗")</f>
        <v>Apply / Careers ↗</v>
      </c>
    </row>
    <row r="133" spans="1:7" ht="22.05" customHeight="1" x14ac:dyDescent="0.3">
      <c r="A133" s="7">
        <v>329</v>
      </c>
      <c r="B133" s="8" t="s">
        <v>743</v>
      </c>
      <c r="C133" s="9" t="s">
        <v>744</v>
      </c>
      <c r="D133" s="7" t="s">
        <v>482</v>
      </c>
      <c r="E133" s="10">
        <v>5.2</v>
      </c>
      <c r="F133" s="10">
        <v>7.8</v>
      </c>
      <c r="G133" s="3" t="str">
        <f>HYPERLINK("https://www.nilkamal.com/pages/careers", "Apply / Careers ↗")</f>
        <v>Apply / Careers ↗</v>
      </c>
    </row>
    <row r="134" spans="1:7" ht="22.05" customHeight="1" x14ac:dyDescent="0.3">
      <c r="A134" s="11">
        <v>330</v>
      </c>
      <c r="B134" s="12" t="s">
        <v>745</v>
      </c>
      <c r="C134" s="13" t="s">
        <v>746</v>
      </c>
      <c r="D134" s="11" t="s">
        <v>387</v>
      </c>
      <c r="E134" s="14">
        <v>5.3</v>
      </c>
      <c r="F134" s="14">
        <v>8</v>
      </c>
      <c r="G134" s="2" t="str">
        <f>HYPERLINK("https://www.supreme.co.in/careers", "Apply / Careers ↗")</f>
        <v>Apply / Careers ↗</v>
      </c>
    </row>
    <row r="135" spans="1:7" ht="22.05" customHeight="1" x14ac:dyDescent="0.3">
      <c r="A135" s="7">
        <v>331</v>
      </c>
      <c r="B135" s="8" t="s">
        <v>747</v>
      </c>
      <c r="C135" s="9" t="s">
        <v>748</v>
      </c>
      <c r="D135" s="7" t="s">
        <v>340</v>
      </c>
      <c r="E135" s="10">
        <v>6.2</v>
      </c>
      <c r="F135" s="10">
        <v>9.1999999999999993</v>
      </c>
      <c r="G135" s="3" t="str">
        <f>HYPERLINK("https://www.nazara.com/careers/", "Apply / Careers ↗")</f>
        <v>Apply / Careers ↗</v>
      </c>
    </row>
    <row r="136" spans="1:7" ht="22.05" customHeight="1" x14ac:dyDescent="0.3">
      <c r="A136" s="11">
        <v>332</v>
      </c>
      <c r="B136" s="12" t="s">
        <v>749</v>
      </c>
      <c r="C136" s="13" t="s">
        <v>750</v>
      </c>
      <c r="D136" s="11" t="s">
        <v>236</v>
      </c>
      <c r="E136" s="14">
        <v>7.5</v>
      </c>
      <c r="F136" s="14">
        <v>11.2</v>
      </c>
      <c r="G136" s="2" t="str">
        <f>HYPERLINK("https://www.games24x7.com/careers", "Apply / Careers ↗")</f>
        <v>Apply / Careers ↗</v>
      </c>
    </row>
    <row r="137" spans="1:7" ht="22.05" customHeight="1" x14ac:dyDescent="0.3">
      <c r="A137" s="7">
        <v>333</v>
      </c>
      <c r="B137" s="8" t="s">
        <v>751</v>
      </c>
      <c r="C137" s="9" t="s">
        <v>752</v>
      </c>
      <c r="D137" s="7" t="s">
        <v>236</v>
      </c>
      <c r="E137" s="10">
        <v>7.5</v>
      </c>
      <c r="F137" s="10">
        <v>11.2</v>
      </c>
      <c r="G137" s="3" t="str">
        <f>HYPERLINK("https://about.mpl.live/careers/", "Apply / Careers ↗")</f>
        <v>Apply / Careers ↗</v>
      </c>
    </row>
    <row r="138" spans="1:7" ht="22.05" customHeight="1" x14ac:dyDescent="0.3">
      <c r="A138" s="11">
        <v>334</v>
      </c>
      <c r="B138" s="12" t="s">
        <v>753</v>
      </c>
      <c r="C138" s="13" t="s">
        <v>754</v>
      </c>
      <c r="D138" s="11" t="s">
        <v>287</v>
      </c>
      <c r="E138" s="14">
        <v>7</v>
      </c>
      <c r="F138" s="14">
        <v>10.5</v>
      </c>
      <c r="G138" s="2" t="str">
        <f>HYPERLINK("https://www.winzogames.com/careers", "Apply / Careers ↗")</f>
        <v>Apply / Careers ↗</v>
      </c>
    </row>
    <row r="139" spans="1:7" ht="22.05" customHeight="1" x14ac:dyDescent="0.3">
      <c r="A139" s="7">
        <v>335</v>
      </c>
      <c r="B139" s="8" t="s">
        <v>755</v>
      </c>
      <c r="C139" s="9" t="s">
        <v>756</v>
      </c>
      <c r="D139" s="7" t="s">
        <v>337</v>
      </c>
      <c r="E139" s="10">
        <v>6.6</v>
      </c>
      <c r="F139" s="10">
        <v>10</v>
      </c>
      <c r="G139" s="3" t="str">
        <f>HYPERLINK("https://www.zupee.com/careers/", "Apply / Careers ↗")</f>
        <v>Apply / Careers ↗</v>
      </c>
    </row>
    <row r="140" spans="1:7" ht="22.05" customHeight="1" x14ac:dyDescent="0.3">
      <c r="A140" s="11">
        <v>336</v>
      </c>
      <c r="B140" s="12" t="s">
        <v>757</v>
      </c>
      <c r="C140" s="13" t="s">
        <v>758</v>
      </c>
      <c r="D140" s="11" t="s">
        <v>340</v>
      </c>
      <c r="E140" s="14">
        <v>6.2</v>
      </c>
      <c r="F140" s="14">
        <v>9.1999999999999993</v>
      </c>
      <c r="G140" s="2" t="str">
        <f>HYPERLINK("https://www.a23.com/careers.html", "Apply / Careers ↗")</f>
        <v>Apply / Careers ↗</v>
      </c>
    </row>
    <row r="141" spans="1:7" ht="22.05" customHeight="1" x14ac:dyDescent="0.3">
      <c r="A141" s="7">
        <v>337</v>
      </c>
      <c r="B141" s="8" t="s">
        <v>759</v>
      </c>
      <c r="C141" s="9" t="s">
        <v>760</v>
      </c>
      <c r="D141" s="7" t="s">
        <v>337</v>
      </c>
      <c r="E141" s="10">
        <v>6.6</v>
      </c>
      <c r="F141" s="10">
        <v>10</v>
      </c>
      <c r="G141" s="3" t="str">
        <f>HYPERLINK("https://moonfroglabs.com/careers/", "Apply / Careers ↗")</f>
        <v>Apply / Careers ↗</v>
      </c>
    </row>
    <row r="142" spans="1:7" ht="22.05" customHeight="1" x14ac:dyDescent="0.3">
      <c r="A142" s="11">
        <v>338</v>
      </c>
      <c r="B142" s="12" t="s">
        <v>761</v>
      </c>
      <c r="C142" s="13" t="s">
        <v>762</v>
      </c>
      <c r="D142" s="11" t="s">
        <v>255</v>
      </c>
      <c r="E142" s="14">
        <v>7</v>
      </c>
      <c r="F142" s="14">
        <v>11</v>
      </c>
      <c r="G142" s="2" t="str">
        <f>HYPERLINK("https://playsimple.in/careers/", "Apply / Careers ↗")</f>
        <v>Apply / Careers ↗</v>
      </c>
    </row>
    <row r="143" spans="1:7" ht="22.05" customHeight="1" x14ac:dyDescent="0.3">
      <c r="A143" s="7">
        <v>339</v>
      </c>
      <c r="B143" s="8" t="s">
        <v>763</v>
      </c>
      <c r="C143" s="9" t="s">
        <v>764</v>
      </c>
      <c r="D143" s="7" t="s">
        <v>337</v>
      </c>
      <c r="E143" s="10">
        <v>6.6</v>
      </c>
      <c r="F143" s="10">
        <v>10</v>
      </c>
      <c r="G143" s="3" t="str">
        <f>HYPERLINK("https://www.supergaming.com/careers", "Apply / Careers ↗")</f>
        <v>Apply / Careers ↗</v>
      </c>
    </row>
    <row r="144" spans="1:7" ht="22.05" customHeight="1" x14ac:dyDescent="0.3">
      <c r="A144" s="11">
        <v>340</v>
      </c>
      <c r="B144" s="12" t="s">
        <v>765</v>
      </c>
      <c r="C144" s="13" t="s">
        <v>766</v>
      </c>
      <c r="D144" s="11" t="s">
        <v>353</v>
      </c>
      <c r="E144" s="14">
        <v>5.8</v>
      </c>
      <c r="F144" s="14">
        <v>8.6</v>
      </c>
      <c r="G144" s="2" t="str">
        <f>HYPERLINK("https://ncoregames.com/careers", "Apply / Careers ↗")</f>
        <v>Apply / Careers ↗</v>
      </c>
    </row>
    <row r="145" spans="1:7" ht="22.05" customHeight="1" x14ac:dyDescent="0.3">
      <c r="A145" s="7">
        <v>341</v>
      </c>
      <c r="B145" s="8" t="s">
        <v>767</v>
      </c>
      <c r="C145" s="9" t="s">
        <v>768</v>
      </c>
      <c r="D145" s="7" t="s">
        <v>345</v>
      </c>
      <c r="E145" s="10">
        <v>6</v>
      </c>
      <c r="F145" s="10">
        <v>9</v>
      </c>
      <c r="G145" s="3" t="str">
        <f>HYPERLINK("https://www.zee.com/careers/", "Apply / Careers ↗")</f>
        <v>Apply / Careers ↗</v>
      </c>
    </row>
    <row r="146" spans="1:7" ht="22.05" customHeight="1" x14ac:dyDescent="0.3">
      <c r="A146" s="11">
        <v>342</v>
      </c>
      <c r="B146" s="12" t="s">
        <v>769</v>
      </c>
      <c r="C146" s="13" t="s">
        <v>770</v>
      </c>
      <c r="D146" s="11" t="s">
        <v>340</v>
      </c>
      <c r="E146" s="14">
        <v>6.2</v>
      </c>
      <c r="F146" s="14">
        <v>9.1999999999999993</v>
      </c>
      <c r="G146" s="2" t="str">
        <f>HYPERLINK("https://www.sonyliv.com/careers", "Apply / Careers ↗")</f>
        <v>Apply / Careers ↗</v>
      </c>
    </row>
    <row r="147" spans="1:7" ht="22.05" customHeight="1" x14ac:dyDescent="0.3">
      <c r="A147" s="7">
        <v>343</v>
      </c>
      <c r="B147" s="8" t="s">
        <v>771</v>
      </c>
      <c r="C147" s="9" t="s">
        <v>772</v>
      </c>
      <c r="D147" s="7" t="s">
        <v>337</v>
      </c>
      <c r="E147" s="10">
        <v>6.6</v>
      </c>
      <c r="F147" s="10">
        <v>10</v>
      </c>
      <c r="G147" s="3" t="str">
        <f>HYPERLINK("https://www.viacom18.com/careers", "Apply / Careers ↗")</f>
        <v>Apply / Careers ↗</v>
      </c>
    </row>
    <row r="148" spans="1:7" ht="22.05" customHeight="1" x14ac:dyDescent="0.3">
      <c r="A148" s="11">
        <v>344</v>
      </c>
      <c r="B148" s="12" t="s">
        <v>773</v>
      </c>
      <c r="C148" s="13" t="s">
        <v>774</v>
      </c>
      <c r="D148" s="11" t="s">
        <v>337</v>
      </c>
      <c r="E148" s="14">
        <v>6.6</v>
      </c>
      <c r="F148" s="14">
        <v>10</v>
      </c>
      <c r="G148" s="2" t="str">
        <f>HYPERLINK("https://www.disneycareers.com/", "Apply / Careers ↗")</f>
        <v>Apply / Careers ↗</v>
      </c>
    </row>
    <row r="149" spans="1:7" ht="22.05" customHeight="1" x14ac:dyDescent="0.3">
      <c r="A149" s="7">
        <v>345</v>
      </c>
      <c r="B149" s="8" t="s">
        <v>775</v>
      </c>
      <c r="C149" s="9" t="s">
        <v>776</v>
      </c>
      <c r="D149" s="7" t="s">
        <v>387</v>
      </c>
      <c r="E149" s="10">
        <v>5.3</v>
      </c>
      <c r="F149" s="10">
        <v>8</v>
      </c>
      <c r="G149" s="3" t="str">
        <f>HYPERLINK("https://www.balajitelefilms.com/careers.php", "Apply / Careers ↗")</f>
        <v>Apply / Careers ↗</v>
      </c>
    </row>
    <row r="150" spans="1:7" ht="22.05" customHeight="1" x14ac:dyDescent="0.3">
      <c r="A150" s="11">
        <v>346</v>
      </c>
      <c r="B150" s="12" t="s">
        <v>777</v>
      </c>
      <c r="C150" s="13" t="s">
        <v>778</v>
      </c>
      <c r="D150" s="11" t="s">
        <v>337</v>
      </c>
      <c r="E150" s="14">
        <v>6.6</v>
      </c>
      <c r="F150" s="14">
        <v>10</v>
      </c>
      <c r="G150" s="2" t="str">
        <f>HYPERLINK("https://pocketfm.com/careers", "Apply / Careers ↗")</f>
        <v>Apply / Careers ↗</v>
      </c>
    </row>
    <row r="151" spans="1:7" ht="22.05" customHeight="1" x14ac:dyDescent="0.3">
      <c r="A151" s="7">
        <v>347</v>
      </c>
      <c r="B151" s="8" t="s">
        <v>779</v>
      </c>
      <c r="C151" s="9" t="s">
        <v>780</v>
      </c>
      <c r="D151" s="7" t="s">
        <v>340</v>
      </c>
      <c r="E151" s="10">
        <v>6.2</v>
      </c>
      <c r="F151" s="10">
        <v>9.1999999999999993</v>
      </c>
      <c r="G151" s="3" t="str">
        <f>HYPERLINK("https://kukufm.com/careers", "Apply / Careers ↗")</f>
        <v>Apply / Careers ↗</v>
      </c>
    </row>
    <row r="152" spans="1:7" ht="22.05" customHeight="1" x14ac:dyDescent="0.3">
      <c r="A152" s="11">
        <v>348</v>
      </c>
      <c r="B152" s="12" t="s">
        <v>781</v>
      </c>
      <c r="C152" s="13" t="s">
        <v>782</v>
      </c>
      <c r="D152" s="11" t="s">
        <v>353</v>
      </c>
      <c r="E152" s="14">
        <v>5.8</v>
      </c>
      <c r="F152" s="14">
        <v>8.6</v>
      </c>
      <c r="G152" s="2" t="str">
        <f>HYPERLINK("https://stage.in/careers", "Apply / Careers ↗")</f>
        <v>Apply / Careers ↗</v>
      </c>
    </row>
    <row r="153" spans="1:7" ht="22.05" customHeight="1" x14ac:dyDescent="0.3">
      <c r="A153" s="7">
        <v>349</v>
      </c>
      <c r="B153" s="8" t="s">
        <v>783</v>
      </c>
      <c r="C153" s="9" t="s">
        <v>784</v>
      </c>
      <c r="D153" s="7" t="s">
        <v>387</v>
      </c>
      <c r="E153" s="10">
        <v>5.3</v>
      </c>
      <c r="F153" s="10">
        <v>8</v>
      </c>
      <c r="G153" s="3" t="str">
        <f>HYPERLINK("https://chaupal.tv/careers", "Apply / Careers ↗")</f>
        <v>Apply / Careers ↗</v>
      </c>
    </row>
    <row r="154" spans="1:7" ht="22.05" customHeight="1" x14ac:dyDescent="0.3">
      <c r="A154" s="11">
        <v>350</v>
      </c>
      <c r="B154" s="12" t="s">
        <v>785</v>
      </c>
      <c r="C154" s="13" t="s">
        <v>786</v>
      </c>
      <c r="D154" s="11" t="s">
        <v>387</v>
      </c>
      <c r="E154" s="14">
        <v>5.3</v>
      </c>
      <c r="F154" s="14">
        <v>8</v>
      </c>
      <c r="G154" s="2" t="str">
        <f>HYPERLINK("https://www.hoichoi.tv/careers", "Apply / Careers ↗")</f>
        <v>Apply / Careers ↗</v>
      </c>
    </row>
    <row r="155" spans="1:7" ht="22.05" customHeight="1" x14ac:dyDescent="0.3">
      <c r="A155" s="7">
        <v>351</v>
      </c>
      <c r="B155" s="8" t="s">
        <v>787</v>
      </c>
      <c r="C155" s="9" t="s">
        <v>788</v>
      </c>
      <c r="D155" s="7" t="s">
        <v>337</v>
      </c>
      <c r="E155" s="10">
        <v>6.6</v>
      </c>
      <c r="F155" s="10">
        <v>10</v>
      </c>
      <c r="G155" s="3" t="str">
        <f>HYPERLINK("https://www.leadsquared.com/careers/", "Apply / Careers ↗")</f>
        <v>Apply / Careers ↗</v>
      </c>
    </row>
    <row r="156" spans="1:7" ht="22.05" customHeight="1" x14ac:dyDescent="0.3">
      <c r="A156" s="11">
        <v>352</v>
      </c>
      <c r="B156" s="12" t="s">
        <v>789</v>
      </c>
      <c r="C156" s="13" t="s">
        <v>790</v>
      </c>
      <c r="D156" s="11" t="s">
        <v>287</v>
      </c>
      <c r="E156" s="14">
        <v>7</v>
      </c>
      <c r="F156" s="14">
        <v>10.5</v>
      </c>
      <c r="G156" s="2" t="str">
        <f>HYPERLINK("https://clevertap.com/careers/", "Apply / Careers ↗")</f>
        <v>Apply / Careers ↗</v>
      </c>
    </row>
    <row r="157" spans="1:7" ht="22.05" customHeight="1" x14ac:dyDescent="0.3">
      <c r="A157" s="7">
        <v>353</v>
      </c>
      <c r="B157" s="8" t="s">
        <v>791</v>
      </c>
      <c r="C157" s="9" t="s">
        <v>792</v>
      </c>
      <c r="D157" s="7" t="s">
        <v>287</v>
      </c>
      <c r="E157" s="10">
        <v>7</v>
      </c>
      <c r="F157" s="10">
        <v>10.5</v>
      </c>
      <c r="G157" s="3" t="str">
        <f>HYPERLINK("https://www.moengage.com/careers/", "Apply / Careers ↗")</f>
        <v>Apply / Careers ↗</v>
      </c>
    </row>
    <row r="158" spans="1:7" ht="22.05" customHeight="1" x14ac:dyDescent="0.3">
      <c r="A158" s="11">
        <v>354</v>
      </c>
      <c r="B158" s="12" t="s">
        <v>793</v>
      </c>
      <c r="C158" s="13" t="s">
        <v>794</v>
      </c>
      <c r="D158" s="11" t="s">
        <v>337</v>
      </c>
      <c r="E158" s="14">
        <v>6.6</v>
      </c>
      <c r="F158" s="14">
        <v>10</v>
      </c>
      <c r="G158" s="2" t="str">
        <f>HYPERLINK("https://webengage.com/careers/", "Apply / Careers ↗")</f>
        <v>Apply / Careers ↗</v>
      </c>
    </row>
    <row r="159" spans="1:7" ht="22.05" customHeight="1" x14ac:dyDescent="0.3">
      <c r="A159" s="7">
        <v>355</v>
      </c>
      <c r="B159" s="8" t="s">
        <v>795</v>
      </c>
      <c r="C159" s="9" t="s">
        <v>796</v>
      </c>
      <c r="D159" s="7" t="s">
        <v>340</v>
      </c>
      <c r="E159" s="10">
        <v>6.2</v>
      </c>
      <c r="F159" s="10">
        <v>9.1999999999999993</v>
      </c>
      <c r="G159" s="3" t="str">
        <f>HYPERLINK("https://exotel.com/careers/", "Apply / Careers ↗")</f>
        <v>Apply / Careers ↗</v>
      </c>
    </row>
    <row r="160" spans="1:7" ht="22.05" customHeight="1" x14ac:dyDescent="0.3">
      <c r="A160" s="11">
        <v>356</v>
      </c>
      <c r="B160" s="12" t="s">
        <v>797</v>
      </c>
      <c r="C160" s="13" t="s">
        <v>798</v>
      </c>
      <c r="D160" s="11" t="s">
        <v>340</v>
      </c>
      <c r="E160" s="14">
        <v>6.2</v>
      </c>
      <c r="F160" s="14">
        <v>9.1999999999999993</v>
      </c>
      <c r="G160" s="2" t="str">
        <f>HYPERLINK("https://www.gupshup.io/careers", "Apply / Careers ↗")</f>
        <v>Apply / Careers ↗</v>
      </c>
    </row>
    <row r="161" spans="1:7" ht="22.05" customHeight="1" x14ac:dyDescent="0.3">
      <c r="A161" s="7">
        <v>357</v>
      </c>
      <c r="B161" s="8" t="s">
        <v>799</v>
      </c>
      <c r="C161" s="9" t="s">
        <v>800</v>
      </c>
      <c r="D161" s="7" t="s">
        <v>345</v>
      </c>
      <c r="E161" s="10">
        <v>6</v>
      </c>
      <c r="F161" s="10">
        <v>9</v>
      </c>
      <c r="G161" s="3" t="str">
        <f>HYPERLINK("https://www.kaleyra.com/careers/", "Apply / Careers ↗")</f>
        <v>Apply / Careers ↗</v>
      </c>
    </row>
    <row r="162" spans="1:7" ht="22.05" customHeight="1" x14ac:dyDescent="0.3">
      <c r="A162" s="11">
        <v>358</v>
      </c>
      <c r="B162" s="12" t="s">
        <v>801</v>
      </c>
      <c r="C162" s="13" t="s">
        <v>802</v>
      </c>
      <c r="D162" s="11" t="s">
        <v>353</v>
      </c>
      <c r="E162" s="14">
        <v>5.8</v>
      </c>
      <c r="F162" s="14">
        <v>8.6</v>
      </c>
      <c r="G162" s="2" t="str">
        <f>HYPERLINK("https://www.routemobile.com/careers/", "Apply / Careers ↗")</f>
        <v>Apply / Careers ↗</v>
      </c>
    </row>
    <row r="163" spans="1:7" ht="22.05" customHeight="1" x14ac:dyDescent="0.3">
      <c r="A163" s="7">
        <v>359</v>
      </c>
      <c r="B163" s="8" t="s">
        <v>803</v>
      </c>
      <c r="C163" s="9" t="s">
        <v>804</v>
      </c>
      <c r="D163" s="7" t="s">
        <v>345</v>
      </c>
      <c r="E163" s="10">
        <v>6</v>
      </c>
      <c r="F163" s="10">
        <v>9</v>
      </c>
      <c r="G163" s="3" t="str">
        <f>HYPERLINK("https://www.tanla.com/careers.html", "Apply / Careers ↗")</f>
        <v>Apply / Careers ↗</v>
      </c>
    </row>
    <row r="164" spans="1:7" ht="22.05" customHeight="1" x14ac:dyDescent="0.3">
      <c r="A164" s="11">
        <v>360</v>
      </c>
      <c r="B164" s="12" t="s">
        <v>805</v>
      </c>
      <c r="C164" s="13" t="s">
        <v>806</v>
      </c>
      <c r="D164" s="11" t="s">
        <v>353</v>
      </c>
      <c r="E164" s="14">
        <v>5.8</v>
      </c>
      <c r="F164" s="14">
        <v>8.6</v>
      </c>
      <c r="G164" s="2" t="str">
        <f>HYPERLINK("https://www.vfirst.com/careers", "Apply / Careers ↗")</f>
        <v>Apply / Careers ↗</v>
      </c>
    </row>
    <row r="165" spans="1:7" ht="22.05" customHeight="1" x14ac:dyDescent="0.3">
      <c r="A165" s="7">
        <v>361</v>
      </c>
      <c r="B165" s="8" t="s">
        <v>807</v>
      </c>
      <c r="C165" s="9" t="s">
        <v>808</v>
      </c>
      <c r="D165" s="7" t="s">
        <v>353</v>
      </c>
      <c r="E165" s="10">
        <v>5.8</v>
      </c>
      <c r="F165" s="10">
        <v>8.6</v>
      </c>
      <c r="G165" s="3" t="str">
        <f>HYPERLINK("https://www.kfintech.com/careers/", "Apply / Careers ↗")</f>
        <v>Apply / Careers ↗</v>
      </c>
    </row>
    <row r="166" spans="1:7" ht="22.05" customHeight="1" x14ac:dyDescent="0.3">
      <c r="A166" s="11">
        <v>362</v>
      </c>
      <c r="B166" s="12" t="s">
        <v>809</v>
      </c>
      <c r="C166" s="13" t="s">
        <v>810</v>
      </c>
      <c r="D166" s="11" t="s">
        <v>353</v>
      </c>
      <c r="E166" s="14">
        <v>5.8</v>
      </c>
      <c r="F166" s="14">
        <v>8.6</v>
      </c>
      <c r="G166" s="2" t="str">
        <f>HYPERLINK("https://www.camsonline.com/about-cams/careers", "Apply / Careers ↗")</f>
        <v>Apply / Careers ↗</v>
      </c>
    </row>
    <row r="167" spans="1:7" ht="22.05" customHeight="1" x14ac:dyDescent="0.3">
      <c r="A167" s="7">
        <v>363</v>
      </c>
      <c r="B167" s="8" t="s">
        <v>811</v>
      </c>
      <c r="C167" s="9" t="s">
        <v>812</v>
      </c>
      <c r="D167" s="7" t="s">
        <v>345</v>
      </c>
      <c r="E167" s="10">
        <v>6</v>
      </c>
      <c r="F167" s="10">
        <v>9</v>
      </c>
      <c r="G167" s="3" t="str">
        <f>HYPERLINK("https://nsdl.co.in/careers.php", "Apply / Careers ↗")</f>
        <v>Apply / Careers ↗</v>
      </c>
    </row>
    <row r="168" spans="1:7" ht="22.05" customHeight="1" x14ac:dyDescent="0.3">
      <c r="A168" s="11">
        <v>364</v>
      </c>
      <c r="B168" s="12" t="s">
        <v>813</v>
      </c>
      <c r="C168" s="13" t="s">
        <v>814</v>
      </c>
      <c r="D168" s="11" t="s">
        <v>345</v>
      </c>
      <c r="E168" s="14">
        <v>6</v>
      </c>
      <c r="F168" s="14">
        <v>9</v>
      </c>
      <c r="G168" s="2" t="str">
        <f>HYPERLINK("https://www.cdslindia.com/careers/careers.html", "Apply / Careers ↗")</f>
        <v>Apply / Careers ↗</v>
      </c>
    </row>
    <row r="169" spans="1:7" ht="22.05" customHeight="1" x14ac:dyDescent="0.3">
      <c r="A169" s="7">
        <v>365</v>
      </c>
      <c r="B169" s="8" t="s">
        <v>815</v>
      </c>
      <c r="C169" s="9" t="s">
        <v>816</v>
      </c>
      <c r="D169" s="7" t="s">
        <v>337</v>
      </c>
      <c r="E169" s="10">
        <v>6.6</v>
      </c>
      <c r="F169" s="10">
        <v>10</v>
      </c>
      <c r="G169" s="3" t="str">
        <f>HYPERLINK("https://www.nseindia.com/about/careers", "Apply / Careers ↗")</f>
        <v>Apply / Careers ↗</v>
      </c>
    </row>
    <row r="170" spans="1:7" ht="22.05" customHeight="1" x14ac:dyDescent="0.3">
      <c r="A170" s="11">
        <v>366</v>
      </c>
      <c r="B170" s="12" t="s">
        <v>817</v>
      </c>
      <c r="C170" s="13" t="s">
        <v>818</v>
      </c>
      <c r="D170" s="11" t="s">
        <v>340</v>
      </c>
      <c r="E170" s="14">
        <v>6.2</v>
      </c>
      <c r="F170" s="14">
        <v>9.1999999999999993</v>
      </c>
      <c r="G170" s="2" t="str">
        <f>HYPERLINK("https://www.bseindia.com/static/about/careers.aspx", "Apply / Careers ↗")</f>
        <v>Apply / Careers ↗</v>
      </c>
    </row>
    <row r="171" spans="1:7" ht="22.05" customHeight="1" x14ac:dyDescent="0.3">
      <c r="A171" s="7">
        <v>367</v>
      </c>
      <c r="B171" s="8" t="s">
        <v>819</v>
      </c>
      <c r="C171" s="9" t="s">
        <v>820</v>
      </c>
      <c r="D171" s="7" t="s">
        <v>345</v>
      </c>
      <c r="E171" s="10">
        <v>6</v>
      </c>
      <c r="F171" s="10">
        <v>9</v>
      </c>
      <c r="G171" s="3" t="str">
        <f>HYPERLINK("https://www.mcxindia.com/careers", "Apply / Careers ↗")</f>
        <v>Apply / Careers ↗</v>
      </c>
    </row>
    <row r="172" spans="1:7" ht="22.05" customHeight="1" x14ac:dyDescent="0.3">
      <c r="A172" s="11">
        <v>368</v>
      </c>
      <c r="B172" s="12" t="s">
        <v>821</v>
      </c>
      <c r="C172" s="13" t="s">
        <v>822</v>
      </c>
      <c r="D172" s="11" t="s">
        <v>384</v>
      </c>
      <c r="E172" s="14">
        <v>5.5</v>
      </c>
      <c r="F172" s="14">
        <v>8.1999999999999993</v>
      </c>
      <c r="G172" s="2" t="str">
        <f>HYPERLINK("https://www.ncdex.com/careers", "Apply / Careers ↗")</f>
        <v>Apply / Careers ↗</v>
      </c>
    </row>
    <row r="173" spans="1:7" ht="22.05" customHeight="1" x14ac:dyDescent="0.3">
      <c r="A173" s="7">
        <v>369</v>
      </c>
      <c r="B173" s="8" t="s">
        <v>823</v>
      </c>
      <c r="C173" s="9" t="s">
        <v>824</v>
      </c>
      <c r="D173" s="7" t="s">
        <v>340</v>
      </c>
      <c r="E173" s="10">
        <v>6.2</v>
      </c>
      <c r="F173" s="10">
        <v>9.1999999999999993</v>
      </c>
      <c r="G173" s="3" t="str">
        <f>HYPERLINK("https://www.ccilindia.com/Careers/Pages/default.aspx", "Apply / Careers ↗")</f>
        <v>Apply / Careers ↗</v>
      </c>
    </row>
    <row r="174" spans="1:7" ht="22.05" customHeight="1" x14ac:dyDescent="0.3">
      <c r="A174" s="11">
        <v>370</v>
      </c>
      <c r="B174" s="12" t="s">
        <v>825</v>
      </c>
      <c r="C174" s="13" t="s">
        <v>826</v>
      </c>
      <c r="D174" s="11" t="s">
        <v>337</v>
      </c>
      <c r="E174" s="14">
        <v>6.6</v>
      </c>
      <c r="F174" s="14">
        <v>10</v>
      </c>
      <c r="G174" s="2" t="str">
        <f>HYPERLINK("https://www.npci.org.in/who-we-are/careers", "Apply / Careers ↗")</f>
        <v>Apply / Careers ↗</v>
      </c>
    </row>
    <row r="175" spans="1:7" ht="22.05" customHeight="1" x14ac:dyDescent="0.3">
      <c r="A175" s="7">
        <v>371</v>
      </c>
      <c r="B175" s="8" t="s">
        <v>827</v>
      </c>
      <c r="C175" s="9" t="s">
        <v>828</v>
      </c>
      <c r="D175" s="7" t="s">
        <v>337</v>
      </c>
      <c r="E175" s="10">
        <v>6.6</v>
      </c>
      <c r="F175" s="10">
        <v>10</v>
      </c>
      <c r="G175" s="3" t="str">
        <f>HYPERLINK("https://www.lendingkart.com/careers/", "Apply / Careers ↗")</f>
        <v>Apply / Careers ↗</v>
      </c>
    </row>
    <row r="176" spans="1:7" ht="22.05" customHeight="1" x14ac:dyDescent="0.3">
      <c r="A176" s="11">
        <v>372</v>
      </c>
      <c r="B176" s="12" t="s">
        <v>829</v>
      </c>
      <c r="C176" s="13" t="s">
        <v>830</v>
      </c>
      <c r="D176" s="11" t="s">
        <v>340</v>
      </c>
      <c r="E176" s="14">
        <v>6.2</v>
      </c>
      <c r="F176" s="14">
        <v>9.1999999999999993</v>
      </c>
      <c r="G176" s="2" t="str">
        <f>HYPERLINK("https://www.northernarc.com/careers", "Apply / Careers ↗")</f>
        <v>Apply / Careers ↗</v>
      </c>
    </row>
    <row r="177" spans="1:7" ht="22.05" customHeight="1" x14ac:dyDescent="0.3">
      <c r="A177" s="7">
        <v>373</v>
      </c>
      <c r="B177" s="8" t="s">
        <v>831</v>
      </c>
      <c r="C177" s="9" t="s">
        <v>832</v>
      </c>
      <c r="D177" s="7" t="s">
        <v>340</v>
      </c>
      <c r="E177" s="10">
        <v>6.2</v>
      </c>
      <c r="F177" s="10">
        <v>9.1999999999999993</v>
      </c>
      <c r="G177" s="3" t="str">
        <f>HYPERLINK("https://www.vivriticapital.com/careers.html", "Apply / Careers ↗")</f>
        <v>Apply / Careers ↗</v>
      </c>
    </row>
    <row r="178" spans="1:7" ht="22.05" customHeight="1" x14ac:dyDescent="0.3">
      <c r="A178" s="11">
        <v>374</v>
      </c>
      <c r="B178" s="12" t="s">
        <v>833</v>
      </c>
      <c r="C178" s="13" t="s">
        <v>834</v>
      </c>
      <c r="D178" s="11" t="s">
        <v>340</v>
      </c>
      <c r="E178" s="14">
        <v>6.2</v>
      </c>
      <c r="F178" s="14">
        <v>9.1999999999999993</v>
      </c>
      <c r="G178" s="2" t="str">
        <f>HYPERLINK("https://www.incred.com/careers.html", "Apply / Careers ↗")</f>
        <v>Apply / Careers ↗</v>
      </c>
    </row>
    <row r="179" spans="1:7" ht="22.05" customHeight="1" x14ac:dyDescent="0.3">
      <c r="A179" s="7">
        <v>375</v>
      </c>
      <c r="B179" s="8" t="s">
        <v>835</v>
      </c>
      <c r="C179" s="9" t="s">
        <v>836</v>
      </c>
      <c r="D179" s="7" t="s">
        <v>340</v>
      </c>
      <c r="E179" s="10">
        <v>6.2</v>
      </c>
      <c r="F179" s="10">
        <v>9.1999999999999993</v>
      </c>
      <c r="G179" s="3" t="str">
        <f>HYPERLINK("https://www.dmifinance.in/careers.html", "Apply / Careers ↗")</f>
        <v>Apply / Careers ↗</v>
      </c>
    </row>
    <row r="180" spans="1:7" ht="22.05" customHeight="1" x14ac:dyDescent="0.3">
      <c r="A180" s="11">
        <v>376</v>
      </c>
      <c r="B180" s="12" t="s">
        <v>837</v>
      </c>
      <c r="C180" s="13" t="s">
        <v>838</v>
      </c>
      <c r="D180" s="11" t="s">
        <v>353</v>
      </c>
      <c r="E180" s="14">
        <v>5.8</v>
      </c>
      <c r="F180" s="14">
        <v>8.6</v>
      </c>
      <c r="G180" s="2" t="str">
        <f>HYPERLINK("https://ayefin.com/careers/", "Apply / Careers ↗")</f>
        <v>Apply / Careers ↗</v>
      </c>
    </row>
    <row r="181" spans="1:7" ht="22.05" customHeight="1" x14ac:dyDescent="0.3">
      <c r="A181" s="7">
        <v>377</v>
      </c>
      <c r="B181" s="8" t="s">
        <v>839</v>
      </c>
      <c r="C181" s="9" t="s">
        <v>840</v>
      </c>
      <c r="D181" s="7" t="s">
        <v>384</v>
      </c>
      <c r="E181" s="10">
        <v>5.5</v>
      </c>
      <c r="F181" s="10">
        <v>8.1999999999999993</v>
      </c>
      <c r="G181" s="3" t="str">
        <f>HYPERLINK("https://kinaracapital.com/careers/", "Apply / Careers ↗")</f>
        <v>Apply / Careers ↗</v>
      </c>
    </row>
    <row r="182" spans="1:7" ht="22.05" customHeight="1" x14ac:dyDescent="0.3">
      <c r="A182" s="11">
        <v>378</v>
      </c>
      <c r="B182" s="12" t="s">
        <v>841</v>
      </c>
      <c r="C182" s="13" t="s">
        <v>842</v>
      </c>
      <c r="D182" s="11" t="s">
        <v>340</v>
      </c>
      <c r="E182" s="14">
        <v>6.2</v>
      </c>
      <c r="F182" s="14">
        <v>9.1999999999999993</v>
      </c>
      <c r="G182" s="2" t="str">
        <f>HYPERLINK("https://www.progcap.com/careers", "Apply / Careers ↗")</f>
        <v>Apply / Careers ↗</v>
      </c>
    </row>
    <row r="183" spans="1:7" ht="22.05" customHeight="1" x14ac:dyDescent="0.3">
      <c r="A183" s="7">
        <v>379</v>
      </c>
      <c r="B183" s="8" t="s">
        <v>843</v>
      </c>
      <c r="C183" s="9" t="s">
        <v>844</v>
      </c>
      <c r="D183" s="7" t="s">
        <v>340</v>
      </c>
      <c r="E183" s="10">
        <v>6.2</v>
      </c>
      <c r="F183" s="10">
        <v>9.1999999999999993</v>
      </c>
      <c r="G183" s="3" t="str">
        <f>HYPERLINK("https://www.rupifi.com/careers", "Apply / Careers ↗")</f>
        <v>Apply / Careers ↗</v>
      </c>
    </row>
    <row r="184" spans="1:7" ht="22.05" customHeight="1" x14ac:dyDescent="0.3">
      <c r="A184" s="11">
        <v>380</v>
      </c>
      <c r="B184" s="12" t="s">
        <v>845</v>
      </c>
      <c r="C184" s="13" t="s">
        <v>846</v>
      </c>
      <c r="D184" s="11" t="s">
        <v>387</v>
      </c>
      <c r="E184" s="14">
        <v>5.3</v>
      </c>
      <c r="F184" s="14">
        <v>8</v>
      </c>
      <c r="G184" s="2" t="str">
        <f>HYPERLINK("https://www.finova.in/careers", "Apply / Careers ↗")</f>
        <v>Apply / Careers ↗</v>
      </c>
    </row>
    <row r="185" spans="1:7" ht="22.05" customHeight="1" x14ac:dyDescent="0.3">
      <c r="A185" s="7">
        <v>381</v>
      </c>
      <c r="B185" s="8" t="s">
        <v>847</v>
      </c>
      <c r="C185" s="9" t="s">
        <v>848</v>
      </c>
      <c r="D185" s="7" t="s">
        <v>340</v>
      </c>
      <c r="E185" s="10">
        <v>6.2</v>
      </c>
      <c r="F185" s="10">
        <v>9.1999999999999993</v>
      </c>
      <c r="G185" s="3" t="str">
        <f>HYPERLINK("https://www.apollohospitals.com/careers/", "Apply / Careers ↗")</f>
        <v>Apply / Careers ↗</v>
      </c>
    </row>
    <row r="186" spans="1:7" ht="22.05" customHeight="1" x14ac:dyDescent="0.3">
      <c r="A186" s="11">
        <v>382</v>
      </c>
      <c r="B186" s="12" t="s">
        <v>849</v>
      </c>
      <c r="C186" s="13" t="s">
        <v>850</v>
      </c>
      <c r="D186" s="11" t="s">
        <v>337</v>
      </c>
      <c r="E186" s="14">
        <v>6.6</v>
      </c>
      <c r="F186" s="14">
        <v>10</v>
      </c>
      <c r="G186" s="2" t="str">
        <f>HYPERLINK("https://www.1mg.com/jobs", "Apply / Careers ↗")</f>
        <v>Apply / Careers ↗</v>
      </c>
    </row>
    <row r="187" spans="1:7" ht="22.05" customHeight="1" x14ac:dyDescent="0.3">
      <c r="A187" s="7">
        <v>383</v>
      </c>
      <c r="B187" s="8" t="s">
        <v>851</v>
      </c>
      <c r="C187" s="9" t="s">
        <v>852</v>
      </c>
      <c r="D187" s="7" t="s">
        <v>340</v>
      </c>
      <c r="E187" s="10">
        <v>6.2</v>
      </c>
      <c r="F187" s="10">
        <v>9.1999999999999993</v>
      </c>
      <c r="G187" s="3" t="str">
        <f>HYPERLINK("https://pharmeasy.in/careers", "Apply / Careers ↗")</f>
        <v>Apply / Careers ↗</v>
      </c>
    </row>
    <row r="188" spans="1:7" ht="22.05" customHeight="1" x14ac:dyDescent="0.3">
      <c r="A188" s="11">
        <v>384</v>
      </c>
      <c r="B188" s="12" t="s">
        <v>853</v>
      </c>
      <c r="C188" s="13" t="s">
        <v>854</v>
      </c>
      <c r="D188" s="11" t="s">
        <v>345</v>
      </c>
      <c r="E188" s="14">
        <v>6</v>
      </c>
      <c r="F188" s="14">
        <v>9</v>
      </c>
      <c r="G188" s="2" t="str">
        <f>HYPERLINK("https://www.netmeds.com/careers", "Apply / Careers ↗")</f>
        <v>Apply / Careers ↗</v>
      </c>
    </row>
    <row r="189" spans="1:7" ht="22.05" customHeight="1" x14ac:dyDescent="0.3">
      <c r="A189" s="7">
        <v>385</v>
      </c>
      <c r="B189" s="8" t="s">
        <v>855</v>
      </c>
      <c r="C189" s="9" t="s">
        <v>856</v>
      </c>
      <c r="D189" s="7" t="s">
        <v>345</v>
      </c>
      <c r="E189" s="10">
        <v>6</v>
      </c>
      <c r="F189" s="10">
        <v>9</v>
      </c>
      <c r="G189" s="3" t="str">
        <f>HYPERLINK("https://www.medibuddy.in/careers", "Apply / Careers ↗")</f>
        <v>Apply / Careers ↗</v>
      </c>
    </row>
    <row r="190" spans="1:7" ht="22.05" customHeight="1" x14ac:dyDescent="0.3">
      <c r="A190" s="11">
        <v>386</v>
      </c>
      <c r="B190" s="12" t="s">
        <v>857</v>
      </c>
      <c r="C190" s="13" t="s">
        <v>858</v>
      </c>
      <c r="D190" s="11" t="s">
        <v>340</v>
      </c>
      <c r="E190" s="14">
        <v>6.2</v>
      </c>
      <c r="F190" s="14">
        <v>9.1999999999999993</v>
      </c>
      <c r="G190" s="2" t="str">
        <f>HYPERLINK("https://www.practo.com/company/careers", "Apply / Careers ↗")</f>
        <v>Apply / Careers ↗</v>
      </c>
    </row>
    <row r="191" spans="1:7" ht="22.05" customHeight="1" x14ac:dyDescent="0.3">
      <c r="A191" s="7">
        <v>387</v>
      </c>
      <c r="B191" s="8" t="s">
        <v>859</v>
      </c>
      <c r="C191" s="9" t="s">
        <v>860</v>
      </c>
      <c r="D191" s="7" t="s">
        <v>360</v>
      </c>
      <c r="E191" s="10">
        <v>6.4</v>
      </c>
      <c r="F191" s="10">
        <v>9.5</v>
      </c>
      <c r="G191" s="3" t="str">
        <f>HYPERLINK("https://www.healthifyme.com/careers/", "Apply / Careers ↗")</f>
        <v>Apply / Careers ↗</v>
      </c>
    </row>
    <row r="192" spans="1:7" ht="22.05" customHeight="1" x14ac:dyDescent="0.3">
      <c r="A192" s="11">
        <v>388</v>
      </c>
      <c r="B192" s="12" t="s">
        <v>861</v>
      </c>
      <c r="C192" s="13" t="s">
        <v>862</v>
      </c>
      <c r="D192" s="11" t="s">
        <v>337</v>
      </c>
      <c r="E192" s="14">
        <v>6.6</v>
      </c>
      <c r="F192" s="14">
        <v>10</v>
      </c>
      <c r="G192" s="2" t="str">
        <f>HYPERLINK("https://www.cult.fit/careers", "Apply / Careers ↗")</f>
        <v>Apply / Careers ↗</v>
      </c>
    </row>
    <row r="193" spans="1:7" ht="22.05" customHeight="1" x14ac:dyDescent="0.3">
      <c r="A193" s="7">
        <v>389</v>
      </c>
      <c r="B193" s="8" t="s">
        <v>863</v>
      </c>
      <c r="C193" s="9" t="s">
        <v>864</v>
      </c>
      <c r="D193" s="7" t="s">
        <v>345</v>
      </c>
      <c r="E193" s="10">
        <v>6</v>
      </c>
      <c r="F193" s="10">
        <v>9</v>
      </c>
      <c r="G193" s="3" t="str">
        <f>HYPERLINK("https://www.orangehealth.in/careers", "Apply / Careers ↗")</f>
        <v>Apply / Careers ↗</v>
      </c>
    </row>
    <row r="194" spans="1:7" ht="22.05" customHeight="1" x14ac:dyDescent="0.3">
      <c r="A194" s="11">
        <v>390</v>
      </c>
      <c r="B194" s="12" t="s">
        <v>865</v>
      </c>
      <c r="C194" s="13" t="s">
        <v>866</v>
      </c>
      <c r="D194" s="11" t="s">
        <v>353</v>
      </c>
      <c r="E194" s="14">
        <v>5.8</v>
      </c>
      <c r="F194" s="14">
        <v>8.6</v>
      </c>
      <c r="G194" s="2" t="str">
        <f>HYPERLINK("https://redcliffelabs.com/careers", "Apply / Careers ↗")</f>
        <v>Apply / Careers ↗</v>
      </c>
    </row>
    <row r="195" spans="1:7" ht="22.05" customHeight="1" x14ac:dyDescent="0.3">
      <c r="A195" s="7">
        <v>391</v>
      </c>
      <c r="B195" s="8" t="s">
        <v>867</v>
      </c>
      <c r="C195" s="9" t="s">
        <v>868</v>
      </c>
      <c r="D195" s="7" t="s">
        <v>384</v>
      </c>
      <c r="E195" s="10">
        <v>5.5</v>
      </c>
      <c r="F195" s="10">
        <v>8.1999999999999993</v>
      </c>
      <c r="G195" s="3" t="str">
        <f>HYPERLINK("https://www.lalpathlabs.com/careers.aspx", "Apply / Careers ↗")</f>
        <v>Apply / Careers ↗</v>
      </c>
    </row>
    <row r="196" spans="1:7" ht="22.05" customHeight="1" x14ac:dyDescent="0.3">
      <c r="A196" s="11">
        <v>392</v>
      </c>
      <c r="B196" s="12" t="s">
        <v>869</v>
      </c>
      <c r="C196" s="13" t="s">
        <v>870</v>
      </c>
      <c r="D196" s="11" t="s">
        <v>384</v>
      </c>
      <c r="E196" s="14">
        <v>5.5</v>
      </c>
      <c r="F196" s="14">
        <v>8.1999999999999993</v>
      </c>
      <c r="G196" s="2" t="str">
        <f>HYPERLINK("https://www.metropolisindia.com/careers", "Apply / Careers ↗")</f>
        <v>Apply / Careers ↗</v>
      </c>
    </row>
    <row r="197" spans="1:7" ht="22.05" customHeight="1" x14ac:dyDescent="0.3">
      <c r="A197" s="7">
        <v>393</v>
      </c>
      <c r="B197" s="8" t="s">
        <v>871</v>
      </c>
      <c r="C197" s="9" t="s">
        <v>872</v>
      </c>
      <c r="D197" s="7" t="s">
        <v>387</v>
      </c>
      <c r="E197" s="10">
        <v>5.3</v>
      </c>
      <c r="F197" s="10">
        <v>8</v>
      </c>
      <c r="G197" s="3" t="str">
        <f>HYPERLINK("https://www.thyrocare.com/careers", "Apply / Careers ↗")</f>
        <v>Apply / Careers ↗</v>
      </c>
    </row>
    <row r="198" spans="1:7" ht="22.05" customHeight="1" x14ac:dyDescent="0.3">
      <c r="A198" s="11">
        <v>394</v>
      </c>
      <c r="B198" s="12" t="s">
        <v>873</v>
      </c>
      <c r="C198" s="13" t="s">
        <v>874</v>
      </c>
      <c r="D198" s="11" t="s">
        <v>482</v>
      </c>
      <c r="E198" s="14">
        <v>5.2</v>
      </c>
      <c r="F198" s="14">
        <v>7.8</v>
      </c>
      <c r="G198" s="2" t="str">
        <f>HYPERLINK("https://www.vijayadiagnostic.com/careers", "Apply / Careers ↗")</f>
        <v>Apply / Careers ↗</v>
      </c>
    </row>
    <row r="199" spans="1:7" ht="22.05" customHeight="1" x14ac:dyDescent="0.3">
      <c r="A199" s="7">
        <v>395</v>
      </c>
      <c r="B199" s="8" t="s">
        <v>875</v>
      </c>
      <c r="C199" s="9" t="s">
        <v>876</v>
      </c>
      <c r="D199" s="7" t="s">
        <v>353</v>
      </c>
      <c r="E199" s="10">
        <v>5.8</v>
      </c>
      <c r="F199" s="10">
        <v>8.6</v>
      </c>
      <c r="G199" s="3" t="str">
        <f>HYPERLINK("https://www.maxhealthcare.in/careers", "Apply / Careers ↗")</f>
        <v>Apply / Careers ↗</v>
      </c>
    </row>
    <row r="200" spans="1:7" ht="22.05" customHeight="1" x14ac:dyDescent="0.3">
      <c r="A200" s="11">
        <v>396</v>
      </c>
      <c r="B200" s="12" t="s">
        <v>877</v>
      </c>
      <c r="C200" s="13" t="s">
        <v>878</v>
      </c>
      <c r="D200" s="11" t="s">
        <v>353</v>
      </c>
      <c r="E200" s="14">
        <v>5.8</v>
      </c>
      <c r="F200" s="14">
        <v>8.6</v>
      </c>
      <c r="G200" s="2" t="str">
        <f>HYPERLINK("https://www.fortishealthcare.com/careers", "Apply / Careers ↗")</f>
        <v>Apply / Careers ↗</v>
      </c>
    </row>
    <row r="201" spans="1:7" ht="22.05" customHeight="1" x14ac:dyDescent="0.3">
      <c r="A201" s="7">
        <v>397</v>
      </c>
      <c r="B201" s="8" t="s">
        <v>879</v>
      </c>
      <c r="C201" s="9" t="s">
        <v>880</v>
      </c>
      <c r="D201" s="7" t="s">
        <v>353</v>
      </c>
      <c r="E201" s="10">
        <v>5.8</v>
      </c>
      <c r="F201" s="10">
        <v>8.6</v>
      </c>
      <c r="G201" s="3" t="str">
        <f>HYPERLINK("https://www.narayanahealth.org/careers", "Apply / Careers ↗")</f>
        <v>Apply / Careers ↗</v>
      </c>
    </row>
    <row r="202" spans="1:7" ht="22.05" customHeight="1" x14ac:dyDescent="0.3">
      <c r="A202" s="11">
        <v>398</v>
      </c>
      <c r="B202" s="12" t="s">
        <v>881</v>
      </c>
      <c r="C202" s="13" t="s">
        <v>882</v>
      </c>
      <c r="D202" s="11" t="s">
        <v>353</v>
      </c>
      <c r="E202" s="14">
        <v>5.8</v>
      </c>
      <c r="F202" s="14">
        <v>8.6</v>
      </c>
      <c r="G202" s="2" t="str">
        <f>HYPERLINK("https://www.manipalhospitals.com/careers/", "Apply / Careers ↗")</f>
        <v>Apply / Careers ↗</v>
      </c>
    </row>
    <row r="203" spans="1:7" ht="22.05" customHeight="1" x14ac:dyDescent="0.3">
      <c r="A203" s="7">
        <v>399</v>
      </c>
      <c r="B203" s="8" t="s">
        <v>883</v>
      </c>
      <c r="C203" s="9" t="s">
        <v>884</v>
      </c>
      <c r="D203" s="7" t="s">
        <v>384</v>
      </c>
      <c r="E203" s="10">
        <v>5.5</v>
      </c>
      <c r="F203" s="10">
        <v>8.1999999999999993</v>
      </c>
      <c r="G203" s="3" t="str">
        <f>HYPERLINK("https://www.asterdmhealthcare.com/careers", "Apply / Careers ↗")</f>
        <v>Apply / Careers ↗</v>
      </c>
    </row>
    <row r="204" spans="1:7" ht="22.05" customHeight="1" x14ac:dyDescent="0.3">
      <c r="A204" s="11">
        <v>400</v>
      </c>
      <c r="B204" s="12" t="s">
        <v>885</v>
      </c>
      <c r="C204" s="13" t="s">
        <v>886</v>
      </c>
      <c r="D204" s="11" t="s">
        <v>384</v>
      </c>
      <c r="E204" s="14">
        <v>5.5</v>
      </c>
      <c r="F204" s="14">
        <v>8.1999999999999993</v>
      </c>
      <c r="G204" s="2" t="str">
        <f>HYPERLINK("https://www.medanta.org/careers", "Apply / Careers ↗")</f>
        <v>Apply / Careers ↗</v>
      </c>
    </row>
  </sheetData>
  <autoFilter ref="A4:G204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4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0" customWidth="1"/>
    <col min="2" max="2" width="34" customWidth="1"/>
    <col min="3" max="3" width="48" customWidth="1"/>
    <col min="4" max="4" width="25" customWidth="1"/>
    <col min="5" max="6" width="16" customWidth="1"/>
    <col min="7" max="7" width="24" customWidth="1"/>
  </cols>
  <sheetData>
    <row r="1" spans="1:7" ht="21" x14ac:dyDescent="0.4">
      <c r="A1" s="4" t="s">
        <v>1292</v>
      </c>
    </row>
    <row r="2" spans="1:7" x14ac:dyDescent="0.3">
      <c r="A2" s="1" t="s">
        <v>1293</v>
      </c>
    </row>
    <row r="4" spans="1:7" ht="28.05" customHeight="1" x14ac:dyDescent="0.3">
      <c r="A4" s="5" t="s">
        <v>2</v>
      </c>
      <c r="B4" s="6" t="s">
        <v>3</v>
      </c>
      <c r="C4" s="6" t="s">
        <v>4</v>
      </c>
      <c r="D4" s="6" t="s">
        <v>5</v>
      </c>
      <c r="E4" s="5" t="s">
        <v>6</v>
      </c>
      <c r="F4" s="5" t="s">
        <v>7</v>
      </c>
      <c r="G4" s="5" t="s">
        <v>8</v>
      </c>
    </row>
    <row r="5" spans="1:7" ht="22.05" customHeight="1" x14ac:dyDescent="0.3">
      <c r="A5" s="7">
        <v>401</v>
      </c>
      <c r="B5" s="8" t="s">
        <v>887</v>
      </c>
      <c r="C5" s="9" t="s">
        <v>888</v>
      </c>
      <c r="D5" s="7" t="s">
        <v>384</v>
      </c>
      <c r="E5" s="10">
        <v>5.5</v>
      </c>
      <c r="F5" s="10">
        <v>8.1999999999999993</v>
      </c>
      <c r="G5" s="3" t="str">
        <f>HYPERLINK("https://www.tatamotors.com/careers/", "Apply / Careers ↗")</f>
        <v>Apply / Careers ↗</v>
      </c>
    </row>
    <row r="6" spans="1:7" ht="22.05" customHeight="1" x14ac:dyDescent="0.3">
      <c r="A6" s="11">
        <v>402</v>
      </c>
      <c r="B6" s="12" t="s">
        <v>889</v>
      </c>
      <c r="C6" s="13" t="s">
        <v>890</v>
      </c>
      <c r="D6" s="11" t="s">
        <v>384</v>
      </c>
      <c r="E6" s="14">
        <v>5.5</v>
      </c>
      <c r="F6" s="14">
        <v>8.1999999999999993</v>
      </c>
      <c r="G6" s="2" t="str">
        <f>HYPERLINK("https://www.mahindra.com/careers", "Apply / Careers ↗")</f>
        <v>Apply / Careers ↗</v>
      </c>
    </row>
    <row r="7" spans="1:7" ht="22.05" customHeight="1" x14ac:dyDescent="0.3">
      <c r="A7" s="7">
        <v>403</v>
      </c>
      <c r="B7" s="8" t="s">
        <v>891</v>
      </c>
      <c r="C7" s="9" t="s">
        <v>892</v>
      </c>
      <c r="D7" s="7" t="s">
        <v>384</v>
      </c>
      <c r="E7" s="10">
        <v>5.5</v>
      </c>
      <c r="F7" s="10">
        <v>8.1999999999999993</v>
      </c>
      <c r="G7" s="3" t="str">
        <f>HYPERLINK("https://www.marutisuzuki.com/corporate/careers", "Apply / Careers ↗")</f>
        <v>Apply / Careers ↗</v>
      </c>
    </row>
    <row r="8" spans="1:7" ht="22.05" customHeight="1" x14ac:dyDescent="0.3">
      <c r="A8" s="11">
        <v>404</v>
      </c>
      <c r="B8" s="12" t="s">
        <v>893</v>
      </c>
      <c r="C8" s="13" t="s">
        <v>894</v>
      </c>
      <c r="D8" s="11" t="s">
        <v>387</v>
      </c>
      <c r="E8" s="14">
        <v>5.3</v>
      </c>
      <c r="F8" s="14">
        <v>8</v>
      </c>
      <c r="G8" s="2" t="str">
        <f>HYPERLINK("https://www.hyundai.com/in/en/hyundai-story/careers", "Apply / Careers ↗")</f>
        <v>Apply / Careers ↗</v>
      </c>
    </row>
    <row r="9" spans="1:7" ht="22.05" customHeight="1" x14ac:dyDescent="0.3">
      <c r="A9" s="7">
        <v>405</v>
      </c>
      <c r="B9" s="8" t="s">
        <v>895</v>
      </c>
      <c r="C9" s="9" t="s">
        <v>896</v>
      </c>
      <c r="D9" s="7" t="s">
        <v>387</v>
      </c>
      <c r="E9" s="10">
        <v>5.3</v>
      </c>
      <c r="F9" s="10">
        <v>8</v>
      </c>
      <c r="G9" s="3" t="str">
        <f>HYPERLINK("https://www.kia.com/in/about-kia/careers.html", "Apply / Careers ↗")</f>
        <v>Apply / Careers ↗</v>
      </c>
    </row>
    <row r="10" spans="1:7" ht="22.05" customHeight="1" x14ac:dyDescent="0.3">
      <c r="A10" s="11">
        <v>406</v>
      </c>
      <c r="B10" s="12" t="s">
        <v>897</v>
      </c>
      <c r="C10" s="13" t="s">
        <v>898</v>
      </c>
      <c r="D10" s="11" t="s">
        <v>387</v>
      </c>
      <c r="E10" s="14">
        <v>5.3</v>
      </c>
      <c r="F10" s="14">
        <v>8</v>
      </c>
      <c r="G10" s="2" t="str">
        <f>HYPERLINK("https://www.toyotabharat.com/careers/", "Apply / Careers ↗")</f>
        <v>Apply / Careers ↗</v>
      </c>
    </row>
    <row r="11" spans="1:7" ht="22.05" customHeight="1" x14ac:dyDescent="0.3">
      <c r="A11" s="7">
        <v>407</v>
      </c>
      <c r="B11" s="8" t="s">
        <v>899</v>
      </c>
      <c r="C11" s="9" t="s">
        <v>900</v>
      </c>
      <c r="D11" s="7" t="s">
        <v>482</v>
      </c>
      <c r="E11" s="10">
        <v>5.2</v>
      </c>
      <c r="F11" s="10">
        <v>7.8</v>
      </c>
      <c r="G11" s="3" t="str">
        <f>HYPERLINK("https://www.hondacarindia.com/careers", "Apply / Careers ↗")</f>
        <v>Apply / Careers ↗</v>
      </c>
    </row>
    <row r="12" spans="1:7" ht="22.05" customHeight="1" x14ac:dyDescent="0.3">
      <c r="A12" s="11">
        <v>408</v>
      </c>
      <c r="B12" s="12" t="s">
        <v>901</v>
      </c>
      <c r="C12" s="13" t="s">
        <v>902</v>
      </c>
      <c r="D12" s="11" t="s">
        <v>387</v>
      </c>
      <c r="E12" s="14">
        <v>5.3</v>
      </c>
      <c r="F12" s="14">
        <v>8</v>
      </c>
      <c r="G12" s="2" t="str">
        <f>HYPERLINK("https://www.mgmotor.co.in/careers", "Apply / Careers ↗")</f>
        <v>Apply / Careers ↗</v>
      </c>
    </row>
    <row r="13" spans="1:7" ht="22.05" customHeight="1" x14ac:dyDescent="0.3">
      <c r="A13" s="7">
        <v>409</v>
      </c>
      <c r="B13" s="8" t="s">
        <v>903</v>
      </c>
      <c r="C13" s="9" t="s">
        <v>904</v>
      </c>
      <c r="D13" s="7" t="s">
        <v>387</v>
      </c>
      <c r="E13" s="10">
        <v>5.3</v>
      </c>
      <c r="F13" s="10">
        <v>8</v>
      </c>
      <c r="G13" s="3" t="str">
        <f>HYPERLINK("https://www.skoda-auto.co.in/company/careers", "Apply / Careers ↗")</f>
        <v>Apply / Careers ↗</v>
      </c>
    </row>
    <row r="14" spans="1:7" ht="22.05" customHeight="1" x14ac:dyDescent="0.3">
      <c r="A14" s="11">
        <v>410</v>
      </c>
      <c r="B14" s="12" t="s">
        <v>905</v>
      </c>
      <c r="C14" s="13" t="s">
        <v>906</v>
      </c>
      <c r="D14" s="11" t="s">
        <v>384</v>
      </c>
      <c r="E14" s="14">
        <v>5.5</v>
      </c>
      <c r="F14" s="14">
        <v>8.1999999999999993</v>
      </c>
      <c r="G14" s="2" t="str">
        <f>HYPERLINK("https://www.rntbci.in/careers/", "Apply / Careers ↗")</f>
        <v>Apply / Careers ↗</v>
      </c>
    </row>
    <row r="15" spans="1:7" ht="22.05" customHeight="1" x14ac:dyDescent="0.3">
      <c r="A15" s="7">
        <v>411</v>
      </c>
      <c r="B15" s="8" t="s">
        <v>907</v>
      </c>
      <c r="C15" s="9" t="s">
        <v>908</v>
      </c>
      <c r="D15" s="7" t="s">
        <v>482</v>
      </c>
      <c r="E15" s="10">
        <v>5.2</v>
      </c>
      <c r="F15" s="10">
        <v>7.8</v>
      </c>
      <c r="G15" s="3" t="str">
        <f>HYPERLINK("https://www.heromotocorp.com/en-in/careers.html", "Apply / Careers ↗")</f>
        <v>Apply / Careers ↗</v>
      </c>
    </row>
    <row r="16" spans="1:7" ht="22.05" customHeight="1" x14ac:dyDescent="0.3">
      <c r="A16" s="11">
        <v>412</v>
      </c>
      <c r="B16" s="12" t="s">
        <v>909</v>
      </c>
      <c r="C16" s="13" t="s">
        <v>910</v>
      </c>
      <c r="D16" s="11" t="s">
        <v>387</v>
      </c>
      <c r="E16" s="14">
        <v>5.3</v>
      </c>
      <c r="F16" s="14">
        <v>8</v>
      </c>
      <c r="G16" s="2" t="str">
        <f>HYPERLINK("https://www.bajajauto.com/careers", "Apply / Careers ↗")</f>
        <v>Apply / Careers ↗</v>
      </c>
    </row>
    <row r="17" spans="1:7" ht="22.05" customHeight="1" x14ac:dyDescent="0.3">
      <c r="A17" s="7">
        <v>413</v>
      </c>
      <c r="B17" s="8" t="s">
        <v>911</v>
      </c>
      <c r="C17" s="9" t="s">
        <v>912</v>
      </c>
      <c r="D17" s="7" t="s">
        <v>387</v>
      </c>
      <c r="E17" s="10">
        <v>5.3</v>
      </c>
      <c r="F17" s="10">
        <v>8</v>
      </c>
      <c r="G17" s="3" t="str">
        <f>HYPERLINK("https://www.tvsmotor.com/careers", "Apply / Careers ↗")</f>
        <v>Apply / Careers ↗</v>
      </c>
    </row>
    <row r="18" spans="1:7" ht="22.05" customHeight="1" x14ac:dyDescent="0.3">
      <c r="A18" s="11">
        <v>414</v>
      </c>
      <c r="B18" s="12" t="s">
        <v>913</v>
      </c>
      <c r="C18" s="13" t="s">
        <v>914</v>
      </c>
      <c r="D18" s="11" t="s">
        <v>384</v>
      </c>
      <c r="E18" s="14">
        <v>5.5</v>
      </c>
      <c r="F18" s="14">
        <v>8.1999999999999993</v>
      </c>
      <c r="G18" s="2" t="str">
        <f>HYPERLINK("https://www.royalenfield.com/in/en/careers/", "Apply / Careers ↗")</f>
        <v>Apply / Careers ↗</v>
      </c>
    </row>
    <row r="19" spans="1:7" ht="22.05" customHeight="1" x14ac:dyDescent="0.3">
      <c r="A19" s="7">
        <v>415</v>
      </c>
      <c r="B19" s="8" t="s">
        <v>915</v>
      </c>
      <c r="C19" s="9" t="s">
        <v>916</v>
      </c>
      <c r="D19" s="7" t="s">
        <v>340</v>
      </c>
      <c r="E19" s="10">
        <v>6.2</v>
      </c>
      <c r="F19" s="10">
        <v>9.1999999999999993</v>
      </c>
      <c r="G19" s="3" t="str">
        <f>HYPERLINK("https://www.atherenergy.com/careers", "Apply / Careers ↗")</f>
        <v>Apply / Careers ↗</v>
      </c>
    </row>
    <row r="20" spans="1:7" ht="22.05" customHeight="1" x14ac:dyDescent="0.3">
      <c r="A20" s="11">
        <v>416</v>
      </c>
      <c r="B20" s="12" t="s">
        <v>917</v>
      </c>
      <c r="C20" s="13" t="s">
        <v>918</v>
      </c>
      <c r="D20" s="11" t="s">
        <v>340</v>
      </c>
      <c r="E20" s="14">
        <v>6.2</v>
      </c>
      <c r="F20" s="14">
        <v>9.1999999999999993</v>
      </c>
      <c r="G20" s="2" t="str">
        <f>HYPERLINK("https://olaelectric.com/careers", "Apply / Careers ↗")</f>
        <v>Apply / Careers ↗</v>
      </c>
    </row>
    <row r="21" spans="1:7" ht="22.05" customHeight="1" x14ac:dyDescent="0.3">
      <c r="A21" s="7">
        <v>417</v>
      </c>
      <c r="B21" s="8" t="s">
        <v>919</v>
      </c>
      <c r="C21" s="9" t="s">
        <v>920</v>
      </c>
      <c r="D21" s="7" t="s">
        <v>353</v>
      </c>
      <c r="E21" s="10">
        <v>5.8</v>
      </c>
      <c r="F21" s="10">
        <v>8.6</v>
      </c>
      <c r="G21" s="3" t="str">
        <f>HYPERLINK("https://www.simpleenergy.in/careers", "Apply / Careers ↗")</f>
        <v>Apply / Careers ↗</v>
      </c>
    </row>
    <row r="22" spans="1:7" ht="22.05" customHeight="1" x14ac:dyDescent="0.3">
      <c r="A22" s="11">
        <v>418</v>
      </c>
      <c r="B22" s="12" t="s">
        <v>921</v>
      </c>
      <c r="C22" s="13" t="s">
        <v>922</v>
      </c>
      <c r="D22" s="11" t="s">
        <v>345</v>
      </c>
      <c r="E22" s="14">
        <v>6</v>
      </c>
      <c r="F22" s="14">
        <v>9</v>
      </c>
      <c r="G22" s="2" t="str">
        <f>HYPERLINK("https://www.ultraviolette.com/careers", "Apply / Careers ↗")</f>
        <v>Apply / Careers ↗</v>
      </c>
    </row>
    <row r="23" spans="1:7" ht="22.05" customHeight="1" x14ac:dyDescent="0.3">
      <c r="A23" s="7">
        <v>419</v>
      </c>
      <c r="B23" s="8" t="s">
        <v>923</v>
      </c>
      <c r="C23" s="9" t="s">
        <v>924</v>
      </c>
      <c r="D23" s="7" t="s">
        <v>353</v>
      </c>
      <c r="E23" s="10">
        <v>5.8</v>
      </c>
      <c r="F23" s="10">
        <v>8.6</v>
      </c>
      <c r="G23" s="3" t="str">
        <f>HYPERLINK("https://www.rideriver.com/careers", "Apply / Careers ↗")</f>
        <v>Apply / Careers ↗</v>
      </c>
    </row>
    <row r="24" spans="1:7" ht="22.05" customHeight="1" x14ac:dyDescent="0.3">
      <c r="A24" s="11">
        <v>420</v>
      </c>
      <c r="B24" s="12" t="s">
        <v>925</v>
      </c>
      <c r="C24" s="13" t="s">
        <v>926</v>
      </c>
      <c r="D24" s="11" t="s">
        <v>387</v>
      </c>
      <c r="E24" s="14">
        <v>5.3</v>
      </c>
      <c r="F24" s="14">
        <v>8</v>
      </c>
      <c r="G24" s="2" t="str">
        <f>HYPERLINK("https://torkmotors.com/careers/", "Apply / Careers ↗")</f>
        <v>Apply / Careers ↗</v>
      </c>
    </row>
    <row r="25" spans="1:7" ht="22.05" customHeight="1" x14ac:dyDescent="0.3">
      <c r="A25" s="7">
        <v>421</v>
      </c>
      <c r="B25" s="8" t="s">
        <v>927</v>
      </c>
      <c r="C25" s="9" t="s">
        <v>928</v>
      </c>
      <c r="D25" s="7" t="s">
        <v>482</v>
      </c>
      <c r="E25" s="10">
        <v>5.2</v>
      </c>
      <c r="F25" s="10">
        <v>7.8</v>
      </c>
      <c r="G25" s="3" t="str">
        <f>HYPERLINK("https://www.mrftyres.com/careers", "Apply / Careers ↗")</f>
        <v>Apply / Careers ↗</v>
      </c>
    </row>
    <row r="26" spans="1:7" ht="22.05" customHeight="1" x14ac:dyDescent="0.3">
      <c r="A26" s="11">
        <v>422</v>
      </c>
      <c r="B26" s="12" t="s">
        <v>929</v>
      </c>
      <c r="C26" s="13" t="s">
        <v>930</v>
      </c>
      <c r="D26" s="11" t="s">
        <v>482</v>
      </c>
      <c r="E26" s="14">
        <v>5.2</v>
      </c>
      <c r="F26" s="14">
        <v>7.8</v>
      </c>
      <c r="G26" s="2" t="str">
        <f>HYPERLINK("https://www.apollotyres.com/en-in/careers/", "Apply / Careers ↗")</f>
        <v>Apply / Careers ↗</v>
      </c>
    </row>
    <row r="27" spans="1:7" ht="22.05" customHeight="1" x14ac:dyDescent="0.3">
      <c r="A27" s="7">
        <v>423</v>
      </c>
      <c r="B27" s="8" t="s">
        <v>931</v>
      </c>
      <c r="C27" s="9" t="s">
        <v>932</v>
      </c>
      <c r="D27" s="7" t="s">
        <v>482</v>
      </c>
      <c r="E27" s="10">
        <v>5.2</v>
      </c>
      <c r="F27" s="10">
        <v>7.8</v>
      </c>
      <c r="G27" s="3" t="str">
        <f>HYPERLINK("https://www.ceat.com/careers.html", "Apply / Careers ↗")</f>
        <v>Apply / Careers ↗</v>
      </c>
    </row>
    <row r="28" spans="1:7" ht="22.05" customHeight="1" x14ac:dyDescent="0.3">
      <c r="A28" s="11">
        <v>424</v>
      </c>
      <c r="B28" s="12" t="s">
        <v>933</v>
      </c>
      <c r="C28" s="13" t="s">
        <v>934</v>
      </c>
      <c r="D28" s="11" t="s">
        <v>446</v>
      </c>
      <c r="E28" s="14">
        <v>5</v>
      </c>
      <c r="F28" s="14">
        <v>7.6</v>
      </c>
      <c r="G28" s="2" t="str">
        <f>HYPERLINK("https://www.jktyre.com/careers.aspx", "Apply / Careers ↗")</f>
        <v>Apply / Careers ↗</v>
      </c>
    </row>
    <row r="29" spans="1:7" ht="22.05" customHeight="1" x14ac:dyDescent="0.3">
      <c r="A29" s="7">
        <v>425</v>
      </c>
      <c r="B29" s="8" t="s">
        <v>935</v>
      </c>
      <c r="C29" s="9" t="s">
        <v>936</v>
      </c>
      <c r="D29" s="7" t="s">
        <v>482</v>
      </c>
      <c r="E29" s="10">
        <v>5.2</v>
      </c>
      <c r="F29" s="10">
        <v>7.8</v>
      </c>
      <c r="G29" s="3" t="str">
        <f>HYPERLINK("https://www.bkt-tires.com/ww/en/careers", "Apply / Careers ↗")</f>
        <v>Apply / Careers ↗</v>
      </c>
    </row>
    <row r="30" spans="1:7" ht="22.05" customHeight="1" x14ac:dyDescent="0.3">
      <c r="A30" s="11">
        <v>426</v>
      </c>
      <c r="B30" s="12" t="s">
        <v>937</v>
      </c>
      <c r="C30" s="13" t="s">
        <v>938</v>
      </c>
      <c r="D30" s="11" t="s">
        <v>482</v>
      </c>
      <c r="E30" s="14">
        <v>5.2</v>
      </c>
      <c r="F30" s="14">
        <v>7.8</v>
      </c>
      <c r="G30" s="2" t="str">
        <f>HYPERLINK("https://www.motherson.com/careers", "Apply / Careers ↗")</f>
        <v>Apply / Careers ↗</v>
      </c>
    </row>
    <row r="31" spans="1:7" ht="22.05" customHeight="1" x14ac:dyDescent="0.3">
      <c r="A31" s="7">
        <v>427</v>
      </c>
      <c r="B31" s="8" t="s">
        <v>939</v>
      </c>
      <c r="C31" s="9" t="s">
        <v>940</v>
      </c>
      <c r="D31" s="7" t="s">
        <v>482</v>
      </c>
      <c r="E31" s="10">
        <v>5.2</v>
      </c>
      <c r="F31" s="10">
        <v>7.8</v>
      </c>
      <c r="G31" s="3" t="str">
        <f>HYPERLINK("https://www.bharatforge.com/careers", "Apply / Careers ↗")</f>
        <v>Apply / Careers ↗</v>
      </c>
    </row>
    <row r="32" spans="1:7" ht="22.05" customHeight="1" x14ac:dyDescent="0.3">
      <c r="A32" s="11">
        <v>428</v>
      </c>
      <c r="B32" s="12" t="s">
        <v>941</v>
      </c>
      <c r="C32" s="13" t="s">
        <v>942</v>
      </c>
      <c r="D32" s="11" t="s">
        <v>384</v>
      </c>
      <c r="E32" s="14">
        <v>5.5</v>
      </c>
      <c r="F32" s="14">
        <v>8.1999999999999993</v>
      </c>
      <c r="G32" s="2" t="str">
        <f>HYPERLINK("https://www.sonacomstar.com/careers", "Apply / Careers ↗")</f>
        <v>Apply / Careers ↗</v>
      </c>
    </row>
    <row r="33" spans="1:7" ht="22.05" customHeight="1" x14ac:dyDescent="0.3">
      <c r="A33" s="7">
        <v>429</v>
      </c>
      <c r="B33" s="8" t="s">
        <v>943</v>
      </c>
      <c r="C33" s="9" t="s">
        <v>944</v>
      </c>
      <c r="D33" s="7" t="s">
        <v>446</v>
      </c>
      <c r="E33" s="10">
        <v>5</v>
      </c>
      <c r="F33" s="10">
        <v>7.6</v>
      </c>
      <c r="G33" s="3" t="str">
        <f>HYPERLINK("https://www.sundram.com/careers.php", "Apply / Careers ↗")</f>
        <v>Apply / Careers ↗</v>
      </c>
    </row>
    <row r="34" spans="1:7" ht="22.05" customHeight="1" x14ac:dyDescent="0.3">
      <c r="A34" s="11">
        <v>430</v>
      </c>
      <c r="B34" s="12" t="s">
        <v>945</v>
      </c>
      <c r="C34" s="13" t="s">
        <v>946</v>
      </c>
      <c r="D34" s="11" t="s">
        <v>446</v>
      </c>
      <c r="E34" s="14">
        <v>5</v>
      </c>
      <c r="F34" s="14">
        <v>7.6</v>
      </c>
      <c r="G34" s="2" t="str">
        <f>HYPERLINK("https://varroc.com/careers/", "Apply / Careers ↗")</f>
        <v>Apply / Careers ↗</v>
      </c>
    </row>
    <row r="35" spans="1:7" ht="22.05" customHeight="1" x14ac:dyDescent="0.3">
      <c r="A35" s="7">
        <v>431</v>
      </c>
      <c r="B35" s="8" t="s">
        <v>947</v>
      </c>
      <c r="C35" s="9" t="s">
        <v>948</v>
      </c>
      <c r="D35" s="7" t="s">
        <v>446</v>
      </c>
      <c r="E35" s="10">
        <v>5</v>
      </c>
      <c r="F35" s="10">
        <v>7.6</v>
      </c>
      <c r="G35" s="3" t="str">
        <f>HYPERLINK("https://www.endurancegroup.com/careers/", "Apply / Careers ↗")</f>
        <v>Apply / Careers ↗</v>
      </c>
    </row>
    <row r="36" spans="1:7" ht="22.05" customHeight="1" x14ac:dyDescent="0.3">
      <c r="A36" s="11">
        <v>432</v>
      </c>
      <c r="B36" s="12" t="s">
        <v>949</v>
      </c>
      <c r="C36" s="13" t="s">
        <v>950</v>
      </c>
      <c r="D36" s="11" t="s">
        <v>446</v>
      </c>
      <c r="E36" s="14">
        <v>5</v>
      </c>
      <c r="F36" s="14">
        <v>7.6</v>
      </c>
      <c r="G36" s="2" t="str">
        <f>HYPERLINK("https://www.exideindustries.com/careers/current-openings.aspx", "Apply / Careers ↗")</f>
        <v>Apply / Careers ↗</v>
      </c>
    </row>
    <row r="37" spans="1:7" ht="22.05" customHeight="1" x14ac:dyDescent="0.3">
      <c r="A37" s="7">
        <v>433</v>
      </c>
      <c r="B37" s="8" t="s">
        <v>951</v>
      </c>
      <c r="C37" s="9" t="s">
        <v>952</v>
      </c>
      <c r="D37" s="7" t="s">
        <v>446</v>
      </c>
      <c r="E37" s="10">
        <v>5</v>
      </c>
      <c r="F37" s="10">
        <v>7.6</v>
      </c>
      <c r="G37" s="3" t="str">
        <f>HYPERLINK("https://www.amararaja.com/careers", "Apply / Careers ↗")</f>
        <v>Apply / Careers ↗</v>
      </c>
    </row>
    <row r="38" spans="1:7" ht="22.05" customHeight="1" x14ac:dyDescent="0.3">
      <c r="A38" s="11">
        <v>434</v>
      </c>
      <c r="B38" s="12" t="s">
        <v>953</v>
      </c>
      <c r="C38" s="13" t="s">
        <v>954</v>
      </c>
      <c r="D38" s="11" t="s">
        <v>482</v>
      </c>
      <c r="E38" s="14">
        <v>5.2</v>
      </c>
      <c r="F38" s="14">
        <v>7.8</v>
      </c>
      <c r="G38" s="2" t="str">
        <f>HYPERLINK("https://www.unominda.com/careers", "Apply / Careers ↗")</f>
        <v>Apply / Careers ↗</v>
      </c>
    </row>
    <row r="39" spans="1:7" ht="22.05" customHeight="1" x14ac:dyDescent="0.3">
      <c r="A39" s="7">
        <v>435</v>
      </c>
      <c r="B39" s="8" t="s">
        <v>955</v>
      </c>
      <c r="C39" s="9" t="s">
        <v>956</v>
      </c>
      <c r="D39" s="7" t="s">
        <v>706</v>
      </c>
      <c r="E39" s="10">
        <v>4.8</v>
      </c>
      <c r="F39" s="10">
        <v>7.2</v>
      </c>
      <c r="G39" s="3" t="str">
        <f>HYPERLINK("https://suprajit.com/careers/", "Apply / Careers ↗")</f>
        <v>Apply / Careers ↗</v>
      </c>
    </row>
    <row r="40" spans="1:7" ht="22.05" customHeight="1" x14ac:dyDescent="0.3">
      <c r="A40" s="11">
        <v>436</v>
      </c>
      <c r="B40" s="12" t="s">
        <v>957</v>
      </c>
      <c r="C40" s="13" t="s">
        <v>958</v>
      </c>
      <c r="D40" s="11" t="s">
        <v>446</v>
      </c>
      <c r="E40" s="14">
        <v>5</v>
      </c>
      <c r="F40" s="14">
        <v>7.6</v>
      </c>
      <c r="G40" s="2" t="str">
        <f>HYPERLINK("https://www.craftsmanautomation.com/careers", "Apply / Careers ↗")</f>
        <v>Apply / Careers ↗</v>
      </c>
    </row>
    <row r="41" spans="1:7" ht="22.05" customHeight="1" x14ac:dyDescent="0.3">
      <c r="A41" s="7">
        <v>437</v>
      </c>
      <c r="B41" s="8" t="s">
        <v>959</v>
      </c>
      <c r="C41" s="9" t="s">
        <v>960</v>
      </c>
      <c r="D41" s="7" t="s">
        <v>706</v>
      </c>
      <c r="E41" s="10">
        <v>4.8</v>
      </c>
      <c r="F41" s="10">
        <v>7.2</v>
      </c>
      <c r="G41" s="3" t="str">
        <f>HYPERLINK("https://www.jaispring.com/careers.html", "Apply / Careers ↗")</f>
        <v>Apply / Careers ↗</v>
      </c>
    </row>
    <row r="42" spans="1:7" ht="22.05" customHeight="1" x14ac:dyDescent="0.3">
      <c r="A42" s="11">
        <v>438</v>
      </c>
      <c r="B42" s="12" t="s">
        <v>961</v>
      </c>
      <c r="C42" s="13" t="s">
        <v>962</v>
      </c>
      <c r="D42" s="11" t="s">
        <v>706</v>
      </c>
      <c r="E42" s="14">
        <v>4.8</v>
      </c>
      <c r="F42" s="14">
        <v>7.2</v>
      </c>
      <c r="G42" s="2" t="str">
        <f>HYPERLINK("https://www.subros.com/careers.html", "Apply / Careers ↗")</f>
        <v>Apply / Careers ↗</v>
      </c>
    </row>
    <row r="43" spans="1:7" ht="22.05" customHeight="1" x14ac:dyDescent="0.3">
      <c r="A43" s="7">
        <v>439</v>
      </c>
      <c r="B43" s="8" t="s">
        <v>963</v>
      </c>
      <c r="C43" s="9" t="s">
        <v>964</v>
      </c>
      <c r="D43" s="7" t="s">
        <v>706</v>
      </c>
      <c r="E43" s="10">
        <v>4.8</v>
      </c>
      <c r="F43" s="10">
        <v>7.2</v>
      </c>
      <c r="G43" s="3" t="str">
        <f>HYPERLINK("https://www.anandgroupindia.com/gabrielindia/careers/", "Apply / Careers ↗")</f>
        <v>Apply / Careers ↗</v>
      </c>
    </row>
    <row r="44" spans="1:7" ht="22.05" customHeight="1" x14ac:dyDescent="0.3">
      <c r="A44" s="11">
        <v>440</v>
      </c>
      <c r="B44" s="12" t="s">
        <v>965</v>
      </c>
      <c r="C44" s="13" t="s">
        <v>966</v>
      </c>
      <c r="D44" s="11" t="s">
        <v>706</v>
      </c>
      <c r="E44" s="14">
        <v>4.8</v>
      </c>
      <c r="F44" s="14">
        <v>7.2</v>
      </c>
      <c r="G44" s="2" t="str">
        <f>HYPERLINK("https://www.lumaxworld.in/lumaxindustries/careers.html", "Apply / Careers ↗")</f>
        <v>Apply / Careers ↗</v>
      </c>
    </row>
    <row r="45" spans="1:7" ht="22.05" customHeight="1" x14ac:dyDescent="0.3">
      <c r="A45" s="7">
        <v>441</v>
      </c>
      <c r="B45" s="8" t="s">
        <v>967</v>
      </c>
      <c r="C45" s="9" t="s">
        <v>968</v>
      </c>
      <c r="D45" s="7" t="s">
        <v>482</v>
      </c>
      <c r="E45" s="10">
        <v>5.2</v>
      </c>
      <c r="F45" s="10">
        <v>7.8</v>
      </c>
      <c r="G45" s="3" t="str">
        <f>HYPERLINK("https://www.voltas.com/careers", "Apply / Careers ↗")</f>
        <v>Apply / Careers ↗</v>
      </c>
    </row>
    <row r="46" spans="1:7" ht="22.05" customHeight="1" x14ac:dyDescent="0.3">
      <c r="A46" s="11">
        <v>442</v>
      </c>
      <c r="B46" s="12" t="s">
        <v>969</v>
      </c>
      <c r="C46" s="13" t="s">
        <v>970</v>
      </c>
      <c r="D46" s="11" t="s">
        <v>482</v>
      </c>
      <c r="E46" s="14">
        <v>5.2</v>
      </c>
      <c r="F46" s="14">
        <v>7.8</v>
      </c>
      <c r="G46" s="2" t="str">
        <f>HYPERLINK("https://www.bluestarindia.com/careers", "Apply / Careers ↗")</f>
        <v>Apply / Careers ↗</v>
      </c>
    </row>
    <row r="47" spans="1:7" ht="22.05" customHeight="1" x14ac:dyDescent="0.3">
      <c r="A47" s="7">
        <v>443</v>
      </c>
      <c r="B47" s="8" t="s">
        <v>971</v>
      </c>
      <c r="C47" s="9" t="s">
        <v>972</v>
      </c>
      <c r="D47" s="7" t="s">
        <v>387</v>
      </c>
      <c r="E47" s="10">
        <v>5.3</v>
      </c>
      <c r="F47" s="10">
        <v>8</v>
      </c>
      <c r="G47" s="3" t="str">
        <f>HYPERLINK("https://www.havells.com/en/careers.html", "Apply / Careers ↗")</f>
        <v>Apply / Careers ↗</v>
      </c>
    </row>
    <row r="48" spans="1:7" ht="22.05" customHeight="1" x14ac:dyDescent="0.3">
      <c r="A48" s="11">
        <v>444</v>
      </c>
      <c r="B48" s="12" t="s">
        <v>973</v>
      </c>
      <c r="C48" s="13" t="s">
        <v>974</v>
      </c>
      <c r="D48" s="11" t="s">
        <v>482</v>
      </c>
      <c r="E48" s="14">
        <v>5.2</v>
      </c>
      <c r="F48" s="14">
        <v>7.8</v>
      </c>
      <c r="G48" s="2" t="str">
        <f>HYPERLINK("https://polycab.com/careers/", "Apply / Careers ↗")</f>
        <v>Apply / Careers ↗</v>
      </c>
    </row>
    <row r="49" spans="1:7" ht="22.05" customHeight="1" x14ac:dyDescent="0.3">
      <c r="A49" s="7">
        <v>445</v>
      </c>
      <c r="B49" s="8" t="s">
        <v>975</v>
      </c>
      <c r="C49" s="9" t="s">
        <v>976</v>
      </c>
      <c r="D49" s="7" t="s">
        <v>446</v>
      </c>
      <c r="E49" s="10">
        <v>5</v>
      </c>
      <c r="F49" s="10">
        <v>7.6</v>
      </c>
      <c r="G49" s="3" t="str">
        <f>HYPERLINK("https://finolex.com/careers/", "Apply / Careers ↗")</f>
        <v>Apply / Careers ↗</v>
      </c>
    </row>
    <row r="50" spans="1:7" ht="22.05" customHeight="1" x14ac:dyDescent="0.3">
      <c r="A50" s="11">
        <v>446</v>
      </c>
      <c r="B50" s="12" t="s">
        <v>977</v>
      </c>
      <c r="C50" s="13" t="s">
        <v>978</v>
      </c>
      <c r="D50" s="11" t="s">
        <v>446</v>
      </c>
      <c r="E50" s="14">
        <v>5</v>
      </c>
      <c r="F50" s="14">
        <v>7.6</v>
      </c>
      <c r="G50" s="2" t="str">
        <f>HYPERLINK("https://www.rrkabel.com/career/", "Apply / Careers ↗")</f>
        <v>Apply / Careers ↗</v>
      </c>
    </row>
    <row r="51" spans="1:7" ht="22.05" customHeight="1" x14ac:dyDescent="0.3">
      <c r="A51" s="7">
        <v>447</v>
      </c>
      <c r="B51" s="8" t="s">
        <v>979</v>
      </c>
      <c r="C51" s="9" t="s">
        <v>980</v>
      </c>
      <c r="D51" s="7" t="s">
        <v>482</v>
      </c>
      <c r="E51" s="10">
        <v>5.2</v>
      </c>
      <c r="F51" s="10">
        <v>7.8</v>
      </c>
      <c r="G51" s="3" t="str">
        <f>HYPERLINK("https://www.crompton.co.in/careers/", "Apply / Careers ↗")</f>
        <v>Apply / Careers ↗</v>
      </c>
    </row>
    <row r="52" spans="1:7" ht="22.05" customHeight="1" x14ac:dyDescent="0.3">
      <c r="A52" s="11">
        <v>448</v>
      </c>
      <c r="B52" s="12" t="s">
        <v>981</v>
      </c>
      <c r="C52" s="13" t="s">
        <v>982</v>
      </c>
      <c r="D52" s="11" t="s">
        <v>446</v>
      </c>
      <c r="E52" s="14">
        <v>5</v>
      </c>
      <c r="F52" s="14">
        <v>7.6</v>
      </c>
      <c r="G52" s="2" t="str">
        <f>HYPERLINK("https://www.orientelectric.com/careers", "Apply / Careers ↗")</f>
        <v>Apply / Careers ↗</v>
      </c>
    </row>
    <row r="53" spans="1:7" ht="22.05" customHeight="1" x14ac:dyDescent="0.3">
      <c r="A53" s="7">
        <v>449</v>
      </c>
      <c r="B53" s="8" t="s">
        <v>983</v>
      </c>
      <c r="C53" s="9" t="s">
        <v>984</v>
      </c>
      <c r="D53" s="7" t="s">
        <v>446</v>
      </c>
      <c r="E53" s="10">
        <v>5</v>
      </c>
      <c r="F53" s="10">
        <v>7.6</v>
      </c>
      <c r="G53" s="3" t="str">
        <f>HYPERLINK("https://www.bajajelectricals.com/careers/", "Apply / Careers ↗")</f>
        <v>Apply / Careers ↗</v>
      </c>
    </row>
    <row r="54" spans="1:7" ht="22.05" customHeight="1" x14ac:dyDescent="0.3">
      <c r="A54" s="11">
        <v>450</v>
      </c>
      <c r="B54" s="12" t="s">
        <v>985</v>
      </c>
      <c r="C54" s="13" t="s">
        <v>986</v>
      </c>
      <c r="D54" s="11" t="s">
        <v>446</v>
      </c>
      <c r="E54" s="14">
        <v>5</v>
      </c>
      <c r="F54" s="14">
        <v>7.6</v>
      </c>
      <c r="G54" s="2" t="str">
        <f>HYPERLINK("https://www.vguard.in/careers", "Apply / Careers ↗")</f>
        <v>Apply / Careers ↗</v>
      </c>
    </row>
    <row r="55" spans="1:7" ht="22.05" customHeight="1" x14ac:dyDescent="0.3">
      <c r="A55" s="7">
        <v>451</v>
      </c>
      <c r="B55" s="8" t="s">
        <v>987</v>
      </c>
      <c r="C55" s="9" t="s">
        <v>988</v>
      </c>
      <c r="D55" s="7" t="s">
        <v>446</v>
      </c>
      <c r="E55" s="10">
        <v>5</v>
      </c>
      <c r="F55" s="10">
        <v>7.6</v>
      </c>
      <c r="G55" s="3" t="str">
        <f>HYPERLINK("https://symphonylimited.com/careers/", "Apply / Careers ↗")</f>
        <v>Apply / Careers ↗</v>
      </c>
    </row>
    <row r="56" spans="1:7" ht="22.05" customHeight="1" x14ac:dyDescent="0.3">
      <c r="A56" s="11">
        <v>452</v>
      </c>
      <c r="B56" s="12" t="s">
        <v>989</v>
      </c>
      <c r="C56" s="13" t="s">
        <v>990</v>
      </c>
      <c r="D56" s="11" t="s">
        <v>482</v>
      </c>
      <c r="E56" s="14">
        <v>5.2</v>
      </c>
      <c r="F56" s="14">
        <v>7.8</v>
      </c>
      <c r="G56" s="2" t="str">
        <f>HYPERLINK("https://www.whirlpoolindia.com/careers", "Apply / Careers ↗")</f>
        <v>Apply / Careers ↗</v>
      </c>
    </row>
    <row r="57" spans="1:7" ht="22.05" customHeight="1" x14ac:dyDescent="0.3">
      <c r="A57" s="7">
        <v>453</v>
      </c>
      <c r="B57" s="8" t="s">
        <v>991</v>
      </c>
      <c r="C57" s="9" t="s">
        <v>992</v>
      </c>
      <c r="D57" s="7" t="s">
        <v>482</v>
      </c>
      <c r="E57" s="10">
        <v>5.2</v>
      </c>
      <c r="F57" s="10">
        <v>7.8</v>
      </c>
      <c r="G57" s="3" t="str">
        <f>HYPERLINK("https://www.godrej.com/careers", "Apply / Careers ↗")</f>
        <v>Apply / Careers ↗</v>
      </c>
    </row>
    <row r="58" spans="1:7" ht="22.05" customHeight="1" x14ac:dyDescent="0.3">
      <c r="A58" s="11">
        <v>454</v>
      </c>
      <c r="B58" s="12" t="s">
        <v>993</v>
      </c>
      <c r="C58" s="13" t="s">
        <v>994</v>
      </c>
      <c r="D58" s="11" t="s">
        <v>446</v>
      </c>
      <c r="E58" s="14">
        <v>5</v>
      </c>
      <c r="F58" s="14">
        <v>7.6</v>
      </c>
      <c r="G58" s="2" t="str">
        <f>HYPERLINK("https://www.ifbappliances.com/careers", "Apply / Careers ↗")</f>
        <v>Apply / Careers ↗</v>
      </c>
    </row>
    <row r="59" spans="1:7" ht="22.05" customHeight="1" x14ac:dyDescent="0.3">
      <c r="A59" s="7">
        <v>455</v>
      </c>
      <c r="B59" s="8" t="s">
        <v>995</v>
      </c>
      <c r="C59" s="9" t="s">
        <v>996</v>
      </c>
      <c r="D59" s="7" t="s">
        <v>387</v>
      </c>
      <c r="E59" s="10">
        <v>5.3</v>
      </c>
      <c r="F59" s="10">
        <v>8</v>
      </c>
      <c r="G59" s="3" t="str">
        <f>HYPERLINK("https://www.daikinindia.com/careers", "Apply / Careers ↗")</f>
        <v>Apply / Careers ↗</v>
      </c>
    </row>
    <row r="60" spans="1:7" ht="22.05" customHeight="1" x14ac:dyDescent="0.3">
      <c r="A60" s="11">
        <v>456</v>
      </c>
      <c r="B60" s="12" t="s">
        <v>997</v>
      </c>
      <c r="C60" s="13" t="s">
        <v>998</v>
      </c>
      <c r="D60" s="11" t="s">
        <v>482</v>
      </c>
      <c r="E60" s="14">
        <v>5.2</v>
      </c>
      <c r="F60" s="14">
        <v>7.8</v>
      </c>
      <c r="G60" s="2" t="str">
        <f>HYPERLINK("https://www.carriermidea.com/careers.php", "Apply / Careers ↗")</f>
        <v>Apply / Careers ↗</v>
      </c>
    </row>
    <row r="61" spans="1:7" ht="22.05" customHeight="1" x14ac:dyDescent="0.3">
      <c r="A61" s="7">
        <v>457</v>
      </c>
      <c r="B61" s="8" t="s">
        <v>999</v>
      </c>
      <c r="C61" s="9" t="s">
        <v>1000</v>
      </c>
      <c r="D61" s="7" t="s">
        <v>387</v>
      </c>
      <c r="E61" s="10">
        <v>5.3</v>
      </c>
      <c r="F61" s="10">
        <v>8</v>
      </c>
      <c r="G61" s="3" t="str">
        <f>HYPERLINK("https://www.lg.com/in/about-lg/careers", "Apply / Careers ↗")</f>
        <v>Apply / Careers ↗</v>
      </c>
    </row>
    <row r="62" spans="1:7" ht="22.05" customHeight="1" x14ac:dyDescent="0.3">
      <c r="A62" s="11">
        <v>458</v>
      </c>
      <c r="B62" s="12" t="s">
        <v>1001</v>
      </c>
      <c r="C62" s="13" t="s">
        <v>1002</v>
      </c>
      <c r="D62" s="11" t="s">
        <v>353</v>
      </c>
      <c r="E62" s="14">
        <v>5.8</v>
      </c>
      <c r="F62" s="14">
        <v>8.6</v>
      </c>
      <c r="G62" s="2" t="str">
        <f>HYPERLINK("https://www.samsung.com/in/about-us/careers/", "Apply / Careers ↗")</f>
        <v>Apply / Careers ↗</v>
      </c>
    </row>
    <row r="63" spans="1:7" ht="22.05" customHeight="1" x14ac:dyDescent="0.3">
      <c r="A63" s="7">
        <v>459</v>
      </c>
      <c r="B63" s="8" t="s">
        <v>1003</v>
      </c>
      <c r="C63" s="9" t="s">
        <v>1004</v>
      </c>
      <c r="D63" s="7" t="s">
        <v>482</v>
      </c>
      <c r="E63" s="10">
        <v>5.2</v>
      </c>
      <c r="F63" s="10">
        <v>7.8</v>
      </c>
      <c r="G63" s="3" t="str">
        <f>HYPERLINK("https://www.panasonic.com/in/corporate/careers.html", "Apply / Careers ↗")</f>
        <v>Apply / Careers ↗</v>
      </c>
    </row>
    <row r="64" spans="1:7" ht="22.05" customHeight="1" x14ac:dyDescent="0.3">
      <c r="A64" s="11">
        <v>460</v>
      </c>
      <c r="B64" s="12" t="s">
        <v>1005</v>
      </c>
      <c r="C64" s="13" t="s">
        <v>1006</v>
      </c>
      <c r="D64" s="11" t="s">
        <v>387</v>
      </c>
      <c r="E64" s="14">
        <v>5.3</v>
      </c>
      <c r="F64" s="14">
        <v>8</v>
      </c>
      <c r="G64" s="2" t="str">
        <f>HYPERLINK("https://www.sony.co.in/careers", "Apply / Careers ↗")</f>
        <v>Apply / Careers ↗</v>
      </c>
    </row>
    <row r="65" spans="1:7" ht="22.05" customHeight="1" x14ac:dyDescent="0.3">
      <c r="A65" s="7">
        <v>461</v>
      </c>
      <c r="B65" s="8" t="s">
        <v>1007</v>
      </c>
      <c r="C65" s="9" t="s">
        <v>1008</v>
      </c>
      <c r="D65" s="7" t="s">
        <v>345</v>
      </c>
      <c r="E65" s="10">
        <v>6</v>
      </c>
      <c r="F65" s="10">
        <v>9</v>
      </c>
      <c r="G65" s="3" t="str">
        <f>HYPERLINK("https://www.asianpaints.com/careers.html", "Apply / Careers ↗")</f>
        <v>Apply / Careers ↗</v>
      </c>
    </row>
    <row r="66" spans="1:7" ht="22.05" customHeight="1" x14ac:dyDescent="0.3">
      <c r="A66" s="11">
        <v>462</v>
      </c>
      <c r="B66" s="12" t="s">
        <v>1009</v>
      </c>
      <c r="C66" s="13" t="s">
        <v>1010</v>
      </c>
      <c r="D66" s="11" t="s">
        <v>387</v>
      </c>
      <c r="E66" s="14">
        <v>5.3</v>
      </c>
      <c r="F66" s="14">
        <v>8</v>
      </c>
      <c r="G66" s="2" t="str">
        <f>HYPERLINK("https://www.bergerpaints.com/about-us/careers.html", "Apply / Careers ↗")</f>
        <v>Apply / Careers ↗</v>
      </c>
    </row>
    <row r="67" spans="1:7" ht="22.05" customHeight="1" x14ac:dyDescent="0.3">
      <c r="A67" s="7">
        <v>463</v>
      </c>
      <c r="B67" s="8" t="s">
        <v>1011</v>
      </c>
      <c r="C67" s="9" t="s">
        <v>1012</v>
      </c>
      <c r="D67" s="7" t="s">
        <v>482</v>
      </c>
      <c r="E67" s="10">
        <v>5.2</v>
      </c>
      <c r="F67" s="10">
        <v>7.8</v>
      </c>
      <c r="G67" s="3" t="str">
        <f>HYPERLINK("https://www.nerolac.com/careers", "Apply / Careers ↗")</f>
        <v>Apply / Careers ↗</v>
      </c>
    </row>
    <row r="68" spans="1:7" ht="22.05" customHeight="1" x14ac:dyDescent="0.3">
      <c r="A68" s="11">
        <v>464</v>
      </c>
      <c r="B68" s="12" t="s">
        <v>1013</v>
      </c>
      <c r="C68" s="13" t="s">
        <v>1014</v>
      </c>
      <c r="D68" s="11" t="s">
        <v>387</v>
      </c>
      <c r="E68" s="14">
        <v>5.3</v>
      </c>
      <c r="F68" s="14">
        <v>8</v>
      </c>
      <c r="G68" s="2" t="str">
        <f>HYPERLINK("https://www.akzonobel.com/en/careers", "Apply / Careers ↗")</f>
        <v>Apply / Careers ↗</v>
      </c>
    </row>
    <row r="69" spans="1:7" ht="22.05" customHeight="1" x14ac:dyDescent="0.3">
      <c r="A69" s="7">
        <v>465</v>
      </c>
      <c r="B69" s="8" t="s">
        <v>1015</v>
      </c>
      <c r="C69" s="9" t="s">
        <v>1016</v>
      </c>
      <c r="D69" s="7" t="s">
        <v>446</v>
      </c>
      <c r="E69" s="10">
        <v>5</v>
      </c>
      <c r="F69" s="10">
        <v>7.6</v>
      </c>
      <c r="G69" s="3" t="str">
        <f>HYPERLINK("https://indigopaints.com/careers/", "Apply / Careers ↗")</f>
        <v>Apply / Careers ↗</v>
      </c>
    </row>
    <row r="70" spans="1:7" ht="22.05" customHeight="1" x14ac:dyDescent="0.3">
      <c r="A70" s="11">
        <v>466</v>
      </c>
      <c r="B70" s="12" t="s">
        <v>1017</v>
      </c>
      <c r="C70" s="13" t="s">
        <v>1018</v>
      </c>
      <c r="D70" s="11" t="s">
        <v>345</v>
      </c>
      <c r="E70" s="14">
        <v>6</v>
      </c>
      <c r="F70" s="14">
        <v>9</v>
      </c>
      <c r="G70" s="2" t="str">
        <f>HYPERLINK("https://www.pidilite.com/careers/", "Apply / Careers ↗")</f>
        <v>Apply / Careers ↗</v>
      </c>
    </row>
    <row r="71" spans="1:7" ht="22.05" customHeight="1" x14ac:dyDescent="0.3">
      <c r="A71" s="7">
        <v>467</v>
      </c>
      <c r="B71" s="8" t="s">
        <v>1019</v>
      </c>
      <c r="C71" s="9" t="s">
        <v>1020</v>
      </c>
      <c r="D71" s="7" t="s">
        <v>482</v>
      </c>
      <c r="E71" s="10">
        <v>5.2</v>
      </c>
      <c r="F71" s="10">
        <v>7.8</v>
      </c>
      <c r="G71" s="3" t="str">
        <f>HYPERLINK("https://www.astralpipes.com/careers", "Apply / Careers ↗")</f>
        <v>Apply / Careers ↗</v>
      </c>
    </row>
    <row r="72" spans="1:7" ht="22.05" customHeight="1" x14ac:dyDescent="0.3">
      <c r="A72" s="11">
        <v>468</v>
      </c>
      <c r="B72" s="12" t="s">
        <v>1021</v>
      </c>
      <c r="C72" s="13" t="s">
        <v>1022</v>
      </c>
      <c r="D72" s="11" t="s">
        <v>446</v>
      </c>
      <c r="E72" s="14">
        <v>5</v>
      </c>
      <c r="F72" s="14">
        <v>7.6</v>
      </c>
      <c r="G72" s="2" t="str">
        <f>HYPERLINK("https://www.princepipes.com/careers", "Apply / Careers ↗")</f>
        <v>Apply / Careers ↗</v>
      </c>
    </row>
    <row r="73" spans="1:7" ht="22.05" customHeight="1" x14ac:dyDescent="0.3">
      <c r="A73" s="7">
        <v>469</v>
      </c>
      <c r="B73" s="8" t="s">
        <v>1023</v>
      </c>
      <c r="C73" s="9" t="s">
        <v>1024</v>
      </c>
      <c r="D73" s="7" t="s">
        <v>482</v>
      </c>
      <c r="E73" s="10">
        <v>5.2</v>
      </c>
      <c r="F73" s="10">
        <v>7.8</v>
      </c>
      <c r="G73" s="3" t="str">
        <f>HYPERLINK("https://www.kajariaceramics.com/career.php", "Apply / Careers ↗")</f>
        <v>Apply / Careers ↗</v>
      </c>
    </row>
    <row r="74" spans="1:7" ht="22.05" customHeight="1" x14ac:dyDescent="0.3">
      <c r="A74" s="11">
        <v>470</v>
      </c>
      <c r="B74" s="12" t="s">
        <v>1025</v>
      </c>
      <c r="C74" s="13" t="s">
        <v>1026</v>
      </c>
      <c r="D74" s="11" t="s">
        <v>446</v>
      </c>
      <c r="E74" s="14">
        <v>5</v>
      </c>
      <c r="F74" s="14">
        <v>7.6</v>
      </c>
      <c r="G74" s="2" t="str">
        <f>HYPERLINK("https://www.somanyceramics.com/careers", "Apply / Careers ↗")</f>
        <v>Apply / Careers ↗</v>
      </c>
    </row>
    <row r="75" spans="1:7" ht="22.05" customHeight="1" x14ac:dyDescent="0.3">
      <c r="A75" s="7">
        <v>471</v>
      </c>
      <c r="B75" s="8" t="s">
        <v>1027</v>
      </c>
      <c r="C75" s="9" t="s">
        <v>1028</v>
      </c>
      <c r="D75" s="7" t="s">
        <v>446</v>
      </c>
      <c r="E75" s="10">
        <v>5</v>
      </c>
      <c r="F75" s="10">
        <v>7.6</v>
      </c>
      <c r="G75" s="3" t="str">
        <f>HYPERLINK("https://www.cera-india.com/careers", "Apply / Careers ↗")</f>
        <v>Apply / Careers ↗</v>
      </c>
    </row>
    <row r="76" spans="1:7" ht="22.05" customHeight="1" x14ac:dyDescent="0.3">
      <c r="A76" s="11">
        <v>472</v>
      </c>
      <c r="B76" s="12" t="s">
        <v>1029</v>
      </c>
      <c r="C76" s="13" t="s">
        <v>1030</v>
      </c>
      <c r="D76" s="11" t="s">
        <v>446</v>
      </c>
      <c r="E76" s="14">
        <v>5</v>
      </c>
      <c r="F76" s="14">
        <v>7.6</v>
      </c>
      <c r="G76" s="2" t="str">
        <f>HYPERLINK("https://hindware.com/careers/", "Apply / Careers ↗")</f>
        <v>Apply / Careers ↗</v>
      </c>
    </row>
    <row r="77" spans="1:7" ht="22.05" customHeight="1" x14ac:dyDescent="0.3">
      <c r="A77" s="7">
        <v>473</v>
      </c>
      <c r="B77" s="8" t="s">
        <v>1031</v>
      </c>
      <c r="C77" s="9" t="s">
        <v>1032</v>
      </c>
      <c r="D77" s="7" t="s">
        <v>706</v>
      </c>
      <c r="E77" s="10">
        <v>4.8</v>
      </c>
      <c r="F77" s="10">
        <v>7.2</v>
      </c>
      <c r="G77" s="3" t="str">
        <f>HYPERLINK("https://www.greenply.com/careers", "Apply / Careers ↗")</f>
        <v>Apply / Careers ↗</v>
      </c>
    </row>
    <row r="78" spans="1:7" ht="22.05" customHeight="1" x14ac:dyDescent="0.3">
      <c r="A78" s="11">
        <v>474</v>
      </c>
      <c r="B78" s="12" t="s">
        <v>1033</v>
      </c>
      <c r="C78" s="13" t="s">
        <v>1034</v>
      </c>
      <c r="D78" s="11" t="s">
        <v>446</v>
      </c>
      <c r="E78" s="14">
        <v>5</v>
      </c>
      <c r="F78" s="14">
        <v>7.6</v>
      </c>
      <c r="G78" s="2" t="str">
        <f>HYPERLINK("https://www.centuryply.com/careers", "Apply / Careers ↗")</f>
        <v>Apply / Careers ↗</v>
      </c>
    </row>
    <row r="79" spans="1:7" ht="22.05" customHeight="1" x14ac:dyDescent="0.3">
      <c r="A79" s="7">
        <v>475</v>
      </c>
      <c r="B79" s="8" t="s">
        <v>1035</v>
      </c>
      <c r="C79" s="9" t="s">
        <v>1036</v>
      </c>
      <c r="D79" s="7" t="s">
        <v>706</v>
      </c>
      <c r="E79" s="10">
        <v>4.8</v>
      </c>
      <c r="F79" s="10">
        <v>7.2</v>
      </c>
      <c r="G79" s="3" t="str">
        <f>HYPERLINK("https://www.greenpanel.com/careers/", "Apply / Careers ↗")</f>
        <v>Apply / Careers ↗</v>
      </c>
    </row>
    <row r="80" spans="1:7" ht="22.05" customHeight="1" x14ac:dyDescent="0.3">
      <c r="A80" s="11">
        <v>476</v>
      </c>
      <c r="B80" s="12" t="s">
        <v>1037</v>
      </c>
      <c r="C80" s="13" t="s">
        <v>1038</v>
      </c>
      <c r="D80" s="11" t="s">
        <v>353</v>
      </c>
      <c r="E80" s="14">
        <v>5.8</v>
      </c>
      <c r="F80" s="14">
        <v>8.6</v>
      </c>
      <c r="G80" s="2" t="str">
        <f>HYPERLINK("https://www.tatasteel.com/careers/", "Apply / Careers ↗")</f>
        <v>Apply / Careers ↗</v>
      </c>
    </row>
    <row r="81" spans="1:7" ht="22.05" customHeight="1" x14ac:dyDescent="0.3">
      <c r="A81" s="7">
        <v>477</v>
      </c>
      <c r="B81" s="8" t="s">
        <v>1039</v>
      </c>
      <c r="C81" s="9" t="s">
        <v>1040</v>
      </c>
      <c r="D81" s="7" t="s">
        <v>384</v>
      </c>
      <c r="E81" s="10">
        <v>5.5</v>
      </c>
      <c r="F81" s="10">
        <v>8.1999999999999993</v>
      </c>
      <c r="G81" s="3" t="str">
        <f>HYPERLINK("https://www.jsw.in/careers", "Apply / Careers ↗")</f>
        <v>Apply / Careers ↗</v>
      </c>
    </row>
    <row r="82" spans="1:7" ht="22.05" customHeight="1" x14ac:dyDescent="0.3">
      <c r="A82" s="11">
        <v>478</v>
      </c>
      <c r="B82" s="12" t="s">
        <v>1041</v>
      </c>
      <c r="C82" s="13" t="s">
        <v>1042</v>
      </c>
      <c r="D82" s="11" t="s">
        <v>482</v>
      </c>
      <c r="E82" s="14">
        <v>5.2</v>
      </c>
      <c r="F82" s="14">
        <v>7.8</v>
      </c>
      <c r="G82" s="2" t="str">
        <f>HYPERLINK("https://sail.co.in/en/careers", "Apply / Careers ↗")</f>
        <v>Apply / Careers ↗</v>
      </c>
    </row>
    <row r="83" spans="1:7" ht="22.05" customHeight="1" x14ac:dyDescent="0.3">
      <c r="A83" s="7">
        <v>479</v>
      </c>
      <c r="B83" s="8" t="s">
        <v>1043</v>
      </c>
      <c r="C83" s="9" t="s">
        <v>1044</v>
      </c>
      <c r="D83" s="7" t="s">
        <v>387</v>
      </c>
      <c r="E83" s="10">
        <v>5.3</v>
      </c>
      <c r="F83" s="10">
        <v>8</v>
      </c>
      <c r="G83" s="3" t="str">
        <f>HYPERLINK("https://www.jindalsteelpower.com/careers.html", "Apply / Careers ↗")</f>
        <v>Apply / Careers ↗</v>
      </c>
    </row>
    <row r="84" spans="1:7" ht="22.05" customHeight="1" x14ac:dyDescent="0.3">
      <c r="A84" s="11">
        <v>480</v>
      </c>
      <c r="B84" s="12" t="s">
        <v>1045</v>
      </c>
      <c r="C84" s="13" t="s">
        <v>1046</v>
      </c>
      <c r="D84" s="11" t="s">
        <v>384</v>
      </c>
      <c r="E84" s="14">
        <v>5.5</v>
      </c>
      <c r="F84" s="14">
        <v>8.1999999999999993</v>
      </c>
      <c r="G84" s="2" t="str">
        <f>HYPERLINK("https://www.vedantaresources.com/careers", "Apply / Careers ↗")</f>
        <v>Apply / Careers ↗</v>
      </c>
    </row>
    <row r="85" spans="1:7" ht="22.05" customHeight="1" x14ac:dyDescent="0.3">
      <c r="A85" s="7">
        <v>481</v>
      </c>
      <c r="B85" s="8" t="s">
        <v>1047</v>
      </c>
      <c r="C85" s="9" t="s">
        <v>1048</v>
      </c>
      <c r="D85" s="7" t="s">
        <v>384</v>
      </c>
      <c r="E85" s="10">
        <v>5.5</v>
      </c>
      <c r="F85" s="10">
        <v>8.1999999999999993</v>
      </c>
      <c r="G85" s="3" t="str">
        <f>HYPERLINK("https://www.hzlindia.com/careers/", "Apply / Careers ↗")</f>
        <v>Apply / Careers ↗</v>
      </c>
    </row>
    <row r="86" spans="1:7" ht="22.05" customHeight="1" x14ac:dyDescent="0.3">
      <c r="A86" s="11">
        <v>482</v>
      </c>
      <c r="B86" s="12" t="s">
        <v>1049</v>
      </c>
      <c r="C86" s="13" t="s">
        <v>1050</v>
      </c>
      <c r="D86" s="11" t="s">
        <v>384</v>
      </c>
      <c r="E86" s="14">
        <v>5.5</v>
      </c>
      <c r="F86" s="14">
        <v>8.1999999999999993</v>
      </c>
      <c r="G86" s="2" t="str">
        <f>HYPERLINK("https://www.hindalco.com/careers", "Apply / Careers ↗")</f>
        <v>Apply / Careers ↗</v>
      </c>
    </row>
    <row r="87" spans="1:7" ht="22.05" customHeight="1" x14ac:dyDescent="0.3">
      <c r="A87" s="7">
        <v>483</v>
      </c>
      <c r="B87" s="8" t="s">
        <v>1051</v>
      </c>
      <c r="C87" s="9" t="s">
        <v>1052</v>
      </c>
      <c r="D87" s="7" t="s">
        <v>635</v>
      </c>
      <c r="E87" s="10">
        <v>5</v>
      </c>
      <c r="F87" s="10">
        <v>7.6</v>
      </c>
      <c r="G87" s="3" t="str">
        <f>HYPERLINK("https://nalcoindia.com/career/", "Apply / Careers ↗")</f>
        <v>Apply / Careers ↗</v>
      </c>
    </row>
    <row r="88" spans="1:7" ht="22.05" customHeight="1" x14ac:dyDescent="0.3">
      <c r="A88" s="11">
        <v>484</v>
      </c>
      <c r="B88" s="12" t="s">
        <v>1053</v>
      </c>
      <c r="C88" s="13" t="s">
        <v>1054</v>
      </c>
      <c r="D88" s="11" t="s">
        <v>482</v>
      </c>
      <c r="E88" s="14">
        <v>5.2</v>
      </c>
      <c r="F88" s="14">
        <v>7.8</v>
      </c>
      <c r="G88" s="2" t="str">
        <f>HYPERLINK("https://www.coalindia.in/career/", "Apply / Careers ↗")</f>
        <v>Apply / Careers ↗</v>
      </c>
    </row>
    <row r="89" spans="1:7" ht="22.05" customHeight="1" x14ac:dyDescent="0.3">
      <c r="A89" s="7">
        <v>485</v>
      </c>
      <c r="B89" s="8" t="s">
        <v>1055</v>
      </c>
      <c r="C89" s="9" t="s">
        <v>1056</v>
      </c>
      <c r="D89" s="7" t="s">
        <v>482</v>
      </c>
      <c r="E89" s="10">
        <v>5.2</v>
      </c>
      <c r="F89" s="10">
        <v>7.8</v>
      </c>
      <c r="G89" s="3" t="str">
        <f>HYPERLINK("https://www.nmdc.co.in/careers", "Apply / Careers ↗")</f>
        <v>Apply / Careers ↗</v>
      </c>
    </row>
    <row r="90" spans="1:7" ht="22.05" customHeight="1" x14ac:dyDescent="0.3">
      <c r="A90" s="11">
        <v>486</v>
      </c>
      <c r="B90" s="12" t="s">
        <v>1057</v>
      </c>
      <c r="C90" s="13" t="s">
        <v>1058</v>
      </c>
      <c r="D90" s="11" t="s">
        <v>384</v>
      </c>
      <c r="E90" s="14">
        <v>5.5</v>
      </c>
      <c r="F90" s="14">
        <v>8.1999999999999993</v>
      </c>
      <c r="G90" s="2" t="str">
        <f>HYPERLINK("https://www.ultratechcement.com/about-us/careers", "Apply / Careers ↗")</f>
        <v>Apply / Careers ↗</v>
      </c>
    </row>
    <row r="91" spans="1:7" ht="22.05" customHeight="1" x14ac:dyDescent="0.3">
      <c r="A91" s="7">
        <v>487</v>
      </c>
      <c r="B91" s="8" t="s">
        <v>1059</v>
      </c>
      <c r="C91" s="9" t="s">
        <v>1060</v>
      </c>
      <c r="D91" s="7" t="s">
        <v>387</v>
      </c>
      <c r="E91" s="10">
        <v>5.3</v>
      </c>
      <c r="F91" s="10">
        <v>8</v>
      </c>
      <c r="G91" s="3" t="str">
        <f>HYPERLINK("https://www.ambujacement.com/careers", "Apply / Careers ↗")</f>
        <v>Apply / Careers ↗</v>
      </c>
    </row>
    <row r="92" spans="1:7" ht="22.05" customHeight="1" x14ac:dyDescent="0.3">
      <c r="A92" s="11">
        <v>488</v>
      </c>
      <c r="B92" s="12" t="s">
        <v>1061</v>
      </c>
      <c r="C92" s="13" t="s">
        <v>1062</v>
      </c>
      <c r="D92" s="11" t="s">
        <v>482</v>
      </c>
      <c r="E92" s="14">
        <v>5.2</v>
      </c>
      <c r="F92" s="14">
        <v>7.8</v>
      </c>
      <c r="G92" s="2" t="str">
        <f>HYPERLINK("https://www.acclimited.com/about-us/careers", "Apply / Careers ↗")</f>
        <v>Apply / Careers ↗</v>
      </c>
    </row>
    <row r="93" spans="1:7" ht="22.05" customHeight="1" x14ac:dyDescent="0.3">
      <c r="A93" s="7">
        <v>489</v>
      </c>
      <c r="B93" s="8" t="s">
        <v>1063</v>
      </c>
      <c r="C93" s="9" t="s">
        <v>1064</v>
      </c>
      <c r="D93" s="7" t="s">
        <v>482</v>
      </c>
      <c r="E93" s="10">
        <v>5.2</v>
      </c>
      <c r="F93" s="10">
        <v>7.8</v>
      </c>
      <c r="G93" s="3" t="str">
        <f>HYPERLINK("https://www.shreecement.com/careers", "Apply / Careers ↗")</f>
        <v>Apply / Careers ↗</v>
      </c>
    </row>
    <row r="94" spans="1:7" ht="22.05" customHeight="1" x14ac:dyDescent="0.3">
      <c r="A94" s="11">
        <v>490</v>
      </c>
      <c r="B94" s="12" t="s">
        <v>1065</v>
      </c>
      <c r="C94" s="13" t="s">
        <v>1066</v>
      </c>
      <c r="D94" s="11" t="s">
        <v>482</v>
      </c>
      <c r="E94" s="14">
        <v>5.2</v>
      </c>
      <c r="F94" s="14">
        <v>7.8</v>
      </c>
      <c r="G94" s="2" t="str">
        <f>HYPERLINK("https://www.dalmiabharat.com/careers/", "Apply / Careers ↗")</f>
        <v>Apply / Careers ↗</v>
      </c>
    </row>
    <row r="95" spans="1:7" ht="22.05" customHeight="1" x14ac:dyDescent="0.3">
      <c r="A95" s="7">
        <v>491</v>
      </c>
      <c r="B95" s="8" t="s">
        <v>1067</v>
      </c>
      <c r="C95" s="9" t="s">
        <v>1068</v>
      </c>
      <c r="D95" s="7" t="s">
        <v>446</v>
      </c>
      <c r="E95" s="10">
        <v>5</v>
      </c>
      <c r="F95" s="10">
        <v>7.6</v>
      </c>
      <c r="G95" s="3" t="str">
        <f>HYPERLINK("https://www.birlacorporation.com/careers.html", "Apply / Careers ↗")</f>
        <v>Apply / Careers ↗</v>
      </c>
    </row>
    <row r="96" spans="1:7" ht="22.05" customHeight="1" x14ac:dyDescent="0.3">
      <c r="A96" s="11">
        <v>492</v>
      </c>
      <c r="B96" s="12" t="s">
        <v>1069</v>
      </c>
      <c r="C96" s="13" t="s">
        <v>1070</v>
      </c>
      <c r="D96" s="11" t="s">
        <v>446</v>
      </c>
      <c r="E96" s="14">
        <v>5</v>
      </c>
      <c r="F96" s="14">
        <v>7.6</v>
      </c>
      <c r="G96" s="2" t="str">
        <f>HYPERLINK("https://www.jkcement.com/careers", "Apply / Careers ↗")</f>
        <v>Apply / Careers ↗</v>
      </c>
    </row>
    <row r="97" spans="1:7" ht="22.05" customHeight="1" x14ac:dyDescent="0.3">
      <c r="A97" s="7">
        <v>493</v>
      </c>
      <c r="B97" s="8" t="s">
        <v>1071</v>
      </c>
      <c r="C97" s="9" t="s">
        <v>1072</v>
      </c>
      <c r="D97" s="7" t="s">
        <v>446</v>
      </c>
      <c r="E97" s="10">
        <v>5</v>
      </c>
      <c r="F97" s="10">
        <v>7.6</v>
      </c>
      <c r="G97" s="3" t="str">
        <f>HYPERLINK("https://www.theramcocements.com/careers", "Apply / Careers ↗")</f>
        <v>Apply / Careers ↗</v>
      </c>
    </row>
    <row r="98" spans="1:7" ht="22.05" customHeight="1" x14ac:dyDescent="0.3">
      <c r="A98" s="11">
        <v>494</v>
      </c>
      <c r="B98" s="12" t="s">
        <v>1073</v>
      </c>
      <c r="C98" s="13" t="s">
        <v>1074</v>
      </c>
      <c r="D98" s="11" t="s">
        <v>706</v>
      </c>
      <c r="E98" s="14">
        <v>4.8</v>
      </c>
      <c r="F98" s="14">
        <v>7.2</v>
      </c>
      <c r="G98" s="2" t="str">
        <f>HYPERLINK("https://www.indiacements.co.in/careers.php", "Apply / Careers ↗")</f>
        <v>Apply / Careers ↗</v>
      </c>
    </row>
    <row r="99" spans="1:7" ht="22.05" customHeight="1" x14ac:dyDescent="0.3">
      <c r="A99" s="7">
        <v>495</v>
      </c>
      <c r="B99" s="8" t="s">
        <v>1075</v>
      </c>
      <c r="C99" s="9" t="s">
        <v>1076</v>
      </c>
      <c r="D99" s="7" t="s">
        <v>706</v>
      </c>
      <c r="E99" s="10">
        <v>4.8</v>
      </c>
      <c r="F99" s="10">
        <v>7.2</v>
      </c>
      <c r="G99" s="3" t="str">
        <f>HYPERLINK("https://www.starcement.co.in/career/", "Apply / Careers ↗")</f>
        <v>Apply / Careers ↗</v>
      </c>
    </row>
    <row r="100" spans="1:7" ht="22.05" customHeight="1" x14ac:dyDescent="0.3">
      <c r="A100" s="11">
        <v>496</v>
      </c>
      <c r="B100" s="12" t="s">
        <v>1077</v>
      </c>
      <c r="C100" s="13" t="s">
        <v>1078</v>
      </c>
      <c r="D100" s="11" t="s">
        <v>340</v>
      </c>
      <c r="E100" s="14">
        <v>6.2</v>
      </c>
      <c r="F100" s="14">
        <v>9.1999999999999993</v>
      </c>
      <c r="G100" s="2" t="str">
        <f>HYPERLINK("https://careers.ril.com/", "Apply / Careers ↗")</f>
        <v>Apply / Careers ↗</v>
      </c>
    </row>
    <row r="101" spans="1:7" ht="22.05" customHeight="1" x14ac:dyDescent="0.3">
      <c r="A101" s="7">
        <v>497</v>
      </c>
      <c r="B101" s="8" t="s">
        <v>1079</v>
      </c>
      <c r="C101" s="9" t="s">
        <v>1080</v>
      </c>
      <c r="D101" s="7" t="s">
        <v>387</v>
      </c>
      <c r="E101" s="10">
        <v>5.3</v>
      </c>
      <c r="F101" s="10">
        <v>8</v>
      </c>
      <c r="G101" s="3" t="str">
        <f>HYPERLINK("https://iocl.com/careers", "Apply / Careers ↗")</f>
        <v>Apply / Careers ↗</v>
      </c>
    </row>
    <row r="102" spans="1:7" ht="22.05" customHeight="1" x14ac:dyDescent="0.3">
      <c r="A102" s="11">
        <v>498</v>
      </c>
      <c r="B102" s="12" t="s">
        <v>1081</v>
      </c>
      <c r="C102" s="13" t="s">
        <v>1082</v>
      </c>
      <c r="D102" s="11" t="s">
        <v>387</v>
      </c>
      <c r="E102" s="14">
        <v>5.3</v>
      </c>
      <c r="F102" s="14">
        <v>8</v>
      </c>
      <c r="G102" s="2" t="str">
        <f>HYPERLINK("https://www.bharatpetroleum.in/careers/careers.aspx", "Apply / Careers ↗")</f>
        <v>Apply / Careers ↗</v>
      </c>
    </row>
    <row r="103" spans="1:7" ht="22.05" customHeight="1" x14ac:dyDescent="0.3">
      <c r="A103" s="7">
        <v>499</v>
      </c>
      <c r="B103" s="8" t="s">
        <v>1083</v>
      </c>
      <c r="C103" s="9" t="s">
        <v>1084</v>
      </c>
      <c r="D103" s="7" t="s">
        <v>387</v>
      </c>
      <c r="E103" s="10">
        <v>5.3</v>
      </c>
      <c r="F103" s="10">
        <v>8</v>
      </c>
      <c r="G103" s="3" t="str">
        <f>HYPERLINK("https://www.hindustanpetroleum.com/careers", "Apply / Careers ↗")</f>
        <v>Apply / Careers ↗</v>
      </c>
    </row>
    <row r="104" spans="1:7" ht="22.05" customHeight="1" x14ac:dyDescent="0.3">
      <c r="A104" s="11">
        <v>500</v>
      </c>
      <c r="B104" s="12" t="s">
        <v>1085</v>
      </c>
      <c r="C104" s="13" t="s">
        <v>1086</v>
      </c>
      <c r="D104" s="11" t="s">
        <v>384</v>
      </c>
      <c r="E104" s="14">
        <v>5.5</v>
      </c>
      <c r="F104" s="14">
        <v>8.1999999999999993</v>
      </c>
      <c r="G104" s="2" t="str">
        <f>HYPERLINK("https://ongcindia.com/web/eng/career", "Apply / Careers ↗")</f>
        <v>Apply / Careers ↗</v>
      </c>
    </row>
    <row r="105" spans="1:7" ht="22.05" customHeight="1" x14ac:dyDescent="0.3">
      <c r="A105" s="7">
        <v>501</v>
      </c>
      <c r="B105" s="8" t="s">
        <v>1087</v>
      </c>
      <c r="C105" s="9" t="s">
        <v>1088</v>
      </c>
      <c r="D105" s="7" t="s">
        <v>482</v>
      </c>
      <c r="E105" s="10">
        <v>5.2</v>
      </c>
      <c r="F105" s="10">
        <v>7.8</v>
      </c>
      <c r="G105" s="3" t="str">
        <f>HYPERLINK("https://www.oil-india.com/Current-openings", "Apply / Careers ↗")</f>
        <v>Apply / Careers ↗</v>
      </c>
    </row>
    <row r="106" spans="1:7" ht="22.05" customHeight="1" x14ac:dyDescent="0.3">
      <c r="A106" s="11">
        <v>502</v>
      </c>
      <c r="B106" s="12" t="s">
        <v>1089</v>
      </c>
      <c r="C106" s="13" t="s">
        <v>1090</v>
      </c>
      <c r="D106" s="11" t="s">
        <v>387</v>
      </c>
      <c r="E106" s="14">
        <v>5.3</v>
      </c>
      <c r="F106" s="14">
        <v>8</v>
      </c>
      <c r="G106" s="2" t="str">
        <f>HYPERLINK("https://gailonline.com/CRApplyinggail.html", "Apply / Careers ↗")</f>
        <v>Apply / Careers ↗</v>
      </c>
    </row>
    <row r="107" spans="1:7" ht="22.05" customHeight="1" x14ac:dyDescent="0.3">
      <c r="A107" s="7">
        <v>503</v>
      </c>
      <c r="B107" s="8" t="s">
        <v>1091</v>
      </c>
      <c r="C107" s="9" t="s">
        <v>1092</v>
      </c>
      <c r="D107" s="7" t="s">
        <v>387</v>
      </c>
      <c r="E107" s="10">
        <v>5.3</v>
      </c>
      <c r="F107" s="10">
        <v>8</v>
      </c>
      <c r="G107" s="3" t="str">
        <f>HYPERLINK("https://www.petronetlng.in/careers.php", "Apply / Careers ↗")</f>
        <v>Apply / Careers ↗</v>
      </c>
    </row>
    <row r="108" spans="1:7" ht="22.05" customHeight="1" x14ac:dyDescent="0.3">
      <c r="A108" s="11">
        <v>504</v>
      </c>
      <c r="B108" s="12" t="s">
        <v>1093</v>
      </c>
      <c r="C108" s="13" t="s">
        <v>1094</v>
      </c>
      <c r="D108" s="11" t="s">
        <v>482</v>
      </c>
      <c r="E108" s="14">
        <v>5.2</v>
      </c>
      <c r="F108" s="14">
        <v>7.8</v>
      </c>
      <c r="G108" s="2" t="str">
        <f>HYPERLINK("https://www.iglonline.net/careers.html", "Apply / Careers ↗")</f>
        <v>Apply / Careers ↗</v>
      </c>
    </row>
    <row r="109" spans="1:7" ht="22.05" customHeight="1" x14ac:dyDescent="0.3">
      <c r="A109" s="7">
        <v>505</v>
      </c>
      <c r="B109" s="8" t="s">
        <v>1095</v>
      </c>
      <c r="C109" s="9" t="s">
        <v>1096</v>
      </c>
      <c r="D109" s="7" t="s">
        <v>482</v>
      </c>
      <c r="E109" s="10">
        <v>5.2</v>
      </c>
      <c r="F109" s="10">
        <v>7.8</v>
      </c>
      <c r="G109" s="3" t="str">
        <f>HYPERLINK("https://www.mahanagargas.com/Careers.aspx", "Apply / Careers ↗")</f>
        <v>Apply / Careers ↗</v>
      </c>
    </row>
    <row r="110" spans="1:7" ht="22.05" customHeight="1" x14ac:dyDescent="0.3">
      <c r="A110" s="11">
        <v>506</v>
      </c>
      <c r="B110" s="12" t="s">
        <v>1097</v>
      </c>
      <c r="C110" s="13" t="s">
        <v>1098</v>
      </c>
      <c r="D110" s="11" t="s">
        <v>482</v>
      </c>
      <c r="E110" s="14">
        <v>5.2</v>
      </c>
      <c r="F110" s="14">
        <v>7.8</v>
      </c>
      <c r="G110" s="2" t="str">
        <f>HYPERLINK("https://www.gujaratgas.com/careers/", "Apply / Careers ↗")</f>
        <v>Apply / Careers ↗</v>
      </c>
    </row>
    <row r="111" spans="1:7" ht="22.05" customHeight="1" x14ac:dyDescent="0.3">
      <c r="A111" s="7">
        <v>507</v>
      </c>
      <c r="B111" s="8" t="s">
        <v>1099</v>
      </c>
      <c r="C111" s="9" t="s">
        <v>1100</v>
      </c>
      <c r="D111" s="7" t="s">
        <v>387</v>
      </c>
      <c r="E111" s="10">
        <v>5.3</v>
      </c>
      <c r="F111" s="10">
        <v>8</v>
      </c>
      <c r="G111" s="3" t="str">
        <f>HYPERLINK("https://www.adanigas.com/careers", "Apply / Careers ↗")</f>
        <v>Apply / Careers ↗</v>
      </c>
    </row>
    <row r="112" spans="1:7" ht="22.05" customHeight="1" x14ac:dyDescent="0.3">
      <c r="A112" s="11">
        <v>508</v>
      </c>
      <c r="B112" s="12" t="s">
        <v>1101</v>
      </c>
      <c r="C112" s="13" t="s">
        <v>1102</v>
      </c>
      <c r="D112" s="11" t="s">
        <v>384</v>
      </c>
      <c r="E112" s="14">
        <v>5.5</v>
      </c>
      <c r="F112" s="14">
        <v>8.1999999999999993</v>
      </c>
      <c r="G112" s="2" t="str">
        <f>HYPERLINK("https://www.tatapower.com/careers/", "Apply / Careers ↗")</f>
        <v>Apply / Careers ↗</v>
      </c>
    </row>
    <row r="113" spans="1:7" ht="22.05" customHeight="1" x14ac:dyDescent="0.3">
      <c r="A113" s="7">
        <v>509</v>
      </c>
      <c r="B113" s="8" t="s">
        <v>1103</v>
      </c>
      <c r="C113" s="9" t="s">
        <v>1104</v>
      </c>
      <c r="D113" s="7" t="s">
        <v>387</v>
      </c>
      <c r="E113" s="10">
        <v>5.3</v>
      </c>
      <c r="F113" s="10">
        <v>8</v>
      </c>
      <c r="G113" s="3" t="str">
        <f>HYPERLINK("https://careers.ntpc.co.in/", "Apply / Careers ↗")</f>
        <v>Apply / Careers ↗</v>
      </c>
    </row>
    <row r="114" spans="1:7" ht="22.05" customHeight="1" x14ac:dyDescent="0.3">
      <c r="A114" s="11">
        <v>510</v>
      </c>
      <c r="B114" s="12" t="s">
        <v>1105</v>
      </c>
      <c r="C114" s="13" t="s">
        <v>1106</v>
      </c>
      <c r="D114" s="11" t="s">
        <v>387</v>
      </c>
      <c r="E114" s="14">
        <v>5.3</v>
      </c>
      <c r="F114" s="14">
        <v>8</v>
      </c>
      <c r="G114" s="2" t="str">
        <f>HYPERLINK("https://www.powergrid.in/careers", "Apply / Careers ↗")</f>
        <v>Apply / Careers ↗</v>
      </c>
    </row>
    <row r="115" spans="1:7" ht="22.05" customHeight="1" x14ac:dyDescent="0.3">
      <c r="A115" s="7">
        <v>511</v>
      </c>
      <c r="B115" s="8" t="s">
        <v>1107</v>
      </c>
      <c r="C115" s="9" t="s">
        <v>1108</v>
      </c>
      <c r="D115" s="7" t="s">
        <v>384</v>
      </c>
      <c r="E115" s="10">
        <v>5.5</v>
      </c>
      <c r="F115" s="10">
        <v>8.1999999999999993</v>
      </c>
      <c r="G115" s="3" t="str">
        <f>HYPERLINK("https://www.adanigreenenergy.com/careers", "Apply / Careers ↗")</f>
        <v>Apply / Careers ↗</v>
      </c>
    </row>
    <row r="116" spans="1:7" ht="22.05" customHeight="1" x14ac:dyDescent="0.3">
      <c r="A116" s="11">
        <v>512</v>
      </c>
      <c r="B116" s="12" t="s">
        <v>1109</v>
      </c>
      <c r="C116" s="13" t="s">
        <v>1110</v>
      </c>
      <c r="D116" s="11" t="s">
        <v>353</v>
      </c>
      <c r="E116" s="14">
        <v>5.8</v>
      </c>
      <c r="F116" s="14">
        <v>8.6</v>
      </c>
      <c r="G116" s="2" t="str">
        <f>HYPERLINK("https://renew.com/careers", "Apply / Careers ↗")</f>
        <v>Apply / Careers ↗</v>
      </c>
    </row>
    <row r="117" spans="1:7" ht="22.05" customHeight="1" x14ac:dyDescent="0.3">
      <c r="A117" s="7">
        <v>513</v>
      </c>
      <c r="B117" s="8" t="s">
        <v>1111</v>
      </c>
      <c r="C117" s="9" t="s">
        <v>1112</v>
      </c>
      <c r="D117" s="7" t="s">
        <v>387</v>
      </c>
      <c r="E117" s="10">
        <v>5.3</v>
      </c>
      <c r="F117" s="10">
        <v>8</v>
      </c>
      <c r="G117" s="3" t="str">
        <f>HYPERLINK("https://avaada.com/careers/", "Apply / Careers ↗")</f>
        <v>Apply / Careers ↗</v>
      </c>
    </row>
    <row r="118" spans="1:7" ht="22.05" customHeight="1" x14ac:dyDescent="0.3">
      <c r="A118" s="11">
        <v>514</v>
      </c>
      <c r="B118" s="12" t="s">
        <v>1113</v>
      </c>
      <c r="C118" s="13" t="s">
        <v>1114</v>
      </c>
      <c r="D118" s="11" t="s">
        <v>482</v>
      </c>
      <c r="E118" s="14">
        <v>5.2</v>
      </c>
      <c r="F118" s="14">
        <v>7.8</v>
      </c>
      <c r="G118" s="2" t="str">
        <f>HYPERLINK("https://www.suzlon.com/careers", "Apply / Careers ↗")</f>
        <v>Apply / Careers ↗</v>
      </c>
    </row>
    <row r="119" spans="1:7" ht="22.05" customHeight="1" x14ac:dyDescent="0.3">
      <c r="A119" s="7">
        <v>515</v>
      </c>
      <c r="B119" s="8" t="s">
        <v>1115</v>
      </c>
      <c r="C119" s="9" t="s">
        <v>1116</v>
      </c>
      <c r="D119" s="7" t="s">
        <v>446</v>
      </c>
      <c r="E119" s="10">
        <v>5</v>
      </c>
      <c r="F119" s="10">
        <v>7.6</v>
      </c>
      <c r="G119" s="3" t="str">
        <f>HYPERLINK("https://www.inoxwind.com/careers", "Apply / Careers ↗")</f>
        <v>Apply / Careers ↗</v>
      </c>
    </row>
    <row r="120" spans="1:7" ht="22.05" customHeight="1" x14ac:dyDescent="0.3">
      <c r="A120" s="11">
        <v>516</v>
      </c>
      <c r="B120" s="12" t="s">
        <v>1117</v>
      </c>
      <c r="C120" s="13" t="s">
        <v>1118</v>
      </c>
      <c r="D120" s="11" t="s">
        <v>482</v>
      </c>
      <c r="E120" s="14">
        <v>5.2</v>
      </c>
      <c r="F120" s="14">
        <v>7.8</v>
      </c>
      <c r="G120" s="2" t="str">
        <f>HYPERLINK("https://www.jsw.in/energy/careers", "Apply / Careers ↗")</f>
        <v>Apply / Careers ↗</v>
      </c>
    </row>
    <row r="121" spans="1:7" ht="22.05" customHeight="1" x14ac:dyDescent="0.3">
      <c r="A121" s="7">
        <v>517</v>
      </c>
      <c r="B121" s="8" t="s">
        <v>1119</v>
      </c>
      <c r="C121" s="9" t="s">
        <v>1120</v>
      </c>
      <c r="D121" s="7" t="s">
        <v>482</v>
      </c>
      <c r="E121" s="10">
        <v>5.2</v>
      </c>
      <c r="F121" s="10">
        <v>7.8</v>
      </c>
      <c r="G121" s="3" t="str">
        <f>HYPERLINK("https://www.torrentpower.com/careers", "Apply / Careers ↗")</f>
        <v>Apply / Careers ↗</v>
      </c>
    </row>
    <row r="122" spans="1:7" ht="22.05" customHeight="1" x14ac:dyDescent="0.3">
      <c r="A122" s="11">
        <v>518</v>
      </c>
      <c r="B122" s="12" t="s">
        <v>1121</v>
      </c>
      <c r="C122" s="13" t="s">
        <v>1122</v>
      </c>
      <c r="D122" s="11" t="s">
        <v>446</v>
      </c>
      <c r="E122" s="14">
        <v>5</v>
      </c>
      <c r="F122" s="14">
        <v>7.6</v>
      </c>
      <c r="G122" s="2" t="str">
        <f>HYPERLINK("https://www.cesc.co.in/careers", "Apply / Careers ↗")</f>
        <v>Apply / Careers ↗</v>
      </c>
    </row>
    <row r="123" spans="1:7" ht="22.05" customHeight="1" x14ac:dyDescent="0.3">
      <c r="A123" s="7">
        <v>519</v>
      </c>
      <c r="B123" s="8" t="s">
        <v>1123</v>
      </c>
      <c r="C123" s="9" t="s">
        <v>1124</v>
      </c>
      <c r="D123" s="7" t="s">
        <v>446</v>
      </c>
      <c r="E123" s="10">
        <v>5</v>
      </c>
      <c r="F123" s="10">
        <v>7.6</v>
      </c>
      <c r="G123" s="3" t="str">
        <f>HYPERLINK("https://www.nhpcindia.com/welcome/career", "Apply / Careers ↗")</f>
        <v>Apply / Careers ↗</v>
      </c>
    </row>
    <row r="124" spans="1:7" ht="22.05" customHeight="1" x14ac:dyDescent="0.3">
      <c r="A124" s="11">
        <v>520</v>
      </c>
      <c r="B124" s="12" t="s">
        <v>1125</v>
      </c>
      <c r="C124" s="13" t="s">
        <v>1126</v>
      </c>
      <c r="D124" s="11" t="s">
        <v>446</v>
      </c>
      <c r="E124" s="14">
        <v>5</v>
      </c>
      <c r="F124" s="14">
        <v>7.6</v>
      </c>
      <c r="G124" s="2" t="str">
        <f>HYPERLINK("https://sjvn.nic.in/career.htm", "Apply / Careers ↗")</f>
        <v>Apply / Careers ↗</v>
      </c>
    </row>
    <row r="125" spans="1:7" ht="22.05" customHeight="1" x14ac:dyDescent="0.3">
      <c r="A125" s="7">
        <v>521</v>
      </c>
      <c r="B125" s="8" t="s">
        <v>1127</v>
      </c>
      <c r="C125" s="9" t="s">
        <v>1128</v>
      </c>
      <c r="D125" s="7" t="s">
        <v>340</v>
      </c>
      <c r="E125" s="10">
        <v>6.2</v>
      </c>
      <c r="F125" s="10">
        <v>9.1999999999999993</v>
      </c>
      <c r="G125" s="3" t="str">
        <f>HYPERLINK("https://careers.jio.com/", "Apply / Careers ↗")</f>
        <v>Apply / Careers ↗</v>
      </c>
    </row>
    <row r="126" spans="1:7" ht="22.05" customHeight="1" x14ac:dyDescent="0.3">
      <c r="A126" s="11">
        <v>522</v>
      </c>
      <c r="B126" s="12" t="s">
        <v>1129</v>
      </c>
      <c r="C126" s="13" t="s">
        <v>1130</v>
      </c>
      <c r="D126" s="11" t="s">
        <v>340</v>
      </c>
      <c r="E126" s="14">
        <v>6.2</v>
      </c>
      <c r="F126" s="14">
        <v>9.1999999999999993</v>
      </c>
      <c r="G126" s="2" t="str">
        <f>HYPERLINK("https://www.airtel.in/careers/", "Apply / Careers ↗")</f>
        <v>Apply / Careers ↗</v>
      </c>
    </row>
    <row r="127" spans="1:7" ht="22.05" customHeight="1" x14ac:dyDescent="0.3">
      <c r="A127" s="7">
        <v>523</v>
      </c>
      <c r="B127" s="8" t="s">
        <v>1131</v>
      </c>
      <c r="C127" s="9" t="s">
        <v>1132</v>
      </c>
      <c r="D127" s="7" t="s">
        <v>384</v>
      </c>
      <c r="E127" s="10">
        <v>5.5</v>
      </c>
      <c r="F127" s="10">
        <v>8.1999999999999993</v>
      </c>
      <c r="G127" s="3" t="str">
        <f>HYPERLINK("https://www.myvi.in/careers", "Apply / Careers ↗")</f>
        <v>Apply / Careers ↗</v>
      </c>
    </row>
    <row r="128" spans="1:7" ht="22.05" customHeight="1" x14ac:dyDescent="0.3">
      <c r="A128" s="11">
        <v>524</v>
      </c>
      <c r="B128" s="12" t="s">
        <v>1133</v>
      </c>
      <c r="C128" s="13" t="s">
        <v>1134</v>
      </c>
      <c r="D128" s="11" t="s">
        <v>482</v>
      </c>
      <c r="E128" s="14">
        <v>5.2</v>
      </c>
      <c r="F128" s="14">
        <v>7.8</v>
      </c>
      <c r="G128" s="2" t="str">
        <f>HYPERLINK("https://www.industowers.com/careers/", "Apply / Careers ↗")</f>
        <v>Apply / Careers ↗</v>
      </c>
    </row>
    <row r="129" spans="1:7" ht="22.05" customHeight="1" x14ac:dyDescent="0.3">
      <c r="A129" s="7">
        <v>525</v>
      </c>
      <c r="B129" s="8" t="s">
        <v>1135</v>
      </c>
      <c r="C129" s="9" t="s">
        <v>1136</v>
      </c>
      <c r="D129" s="7" t="s">
        <v>345</v>
      </c>
      <c r="E129" s="10">
        <v>6</v>
      </c>
      <c r="F129" s="10">
        <v>9</v>
      </c>
      <c r="G129" s="3" t="str">
        <f>HYPERLINK("https://www.tatacommunications.com/careers/", "Apply / Careers ↗")</f>
        <v>Apply / Careers ↗</v>
      </c>
    </row>
    <row r="130" spans="1:7" ht="22.05" customHeight="1" x14ac:dyDescent="0.3">
      <c r="A130" s="11">
        <v>526</v>
      </c>
      <c r="B130" s="12" t="s">
        <v>1137</v>
      </c>
      <c r="C130" s="13" t="s">
        <v>1138</v>
      </c>
      <c r="D130" s="11" t="s">
        <v>482</v>
      </c>
      <c r="E130" s="14">
        <v>5.2</v>
      </c>
      <c r="F130" s="14">
        <v>7.8</v>
      </c>
      <c r="G130" s="2" t="str">
        <f>HYPERLINK("https://www.tatateleservices.com/careers", "Apply / Careers ↗")</f>
        <v>Apply / Careers ↗</v>
      </c>
    </row>
    <row r="131" spans="1:7" ht="22.05" customHeight="1" x14ac:dyDescent="0.3">
      <c r="A131" s="7">
        <v>527</v>
      </c>
      <c r="B131" s="8" t="s">
        <v>1139</v>
      </c>
      <c r="C131" s="9" t="s">
        <v>1140</v>
      </c>
      <c r="D131" s="7" t="s">
        <v>387</v>
      </c>
      <c r="E131" s="10">
        <v>5.3</v>
      </c>
      <c r="F131" s="10">
        <v>8</v>
      </c>
      <c r="G131" s="3" t="str">
        <f>HYPERLINK("https://www.actcorp.in/careers", "Apply / Careers ↗")</f>
        <v>Apply / Careers ↗</v>
      </c>
    </row>
    <row r="132" spans="1:7" ht="22.05" customHeight="1" x14ac:dyDescent="0.3">
      <c r="A132" s="11">
        <v>528</v>
      </c>
      <c r="B132" s="12" t="s">
        <v>1141</v>
      </c>
      <c r="C132" s="13" t="s">
        <v>1142</v>
      </c>
      <c r="D132" s="11" t="s">
        <v>706</v>
      </c>
      <c r="E132" s="14">
        <v>4.8</v>
      </c>
      <c r="F132" s="14">
        <v>7.2</v>
      </c>
      <c r="G132" s="2" t="str">
        <f>HYPERLINK("https://www.hathway.com/careers", "Apply / Careers ↗")</f>
        <v>Apply / Careers ↗</v>
      </c>
    </row>
    <row r="133" spans="1:7" ht="22.05" customHeight="1" x14ac:dyDescent="0.3">
      <c r="A133" s="7">
        <v>529</v>
      </c>
      <c r="B133" s="8" t="s">
        <v>1143</v>
      </c>
      <c r="C133" s="9" t="s">
        <v>1144</v>
      </c>
      <c r="D133" s="7" t="s">
        <v>706</v>
      </c>
      <c r="E133" s="10">
        <v>4.8</v>
      </c>
      <c r="F133" s="10">
        <v>7.2</v>
      </c>
      <c r="G133" s="3" t="str">
        <f>HYPERLINK("https://www.dennetworks.com/careers/", "Apply / Careers ↗")</f>
        <v>Apply / Careers ↗</v>
      </c>
    </row>
    <row r="134" spans="1:7" ht="22.05" customHeight="1" x14ac:dyDescent="0.3">
      <c r="A134" s="11">
        <v>530</v>
      </c>
      <c r="B134" s="12" t="s">
        <v>1145</v>
      </c>
      <c r="C134" s="13" t="s">
        <v>1146</v>
      </c>
      <c r="D134" s="11" t="s">
        <v>446</v>
      </c>
      <c r="E134" s="14">
        <v>5</v>
      </c>
      <c r="F134" s="14">
        <v>7.6</v>
      </c>
      <c r="G134" s="2" t="str">
        <f>HYPERLINK("https://www.railtel.com/careers.html", "Apply / Careers ↗")</f>
        <v>Apply / Careers ↗</v>
      </c>
    </row>
    <row r="135" spans="1:7" ht="22.05" customHeight="1" x14ac:dyDescent="0.3">
      <c r="A135" s="7">
        <v>531</v>
      </c>
      <c r="B135" s="8" t="s">
        <v>1147</v>
      </c>
      <c r="C135" s="9" t="s">
        <v>1148</v>
      </c>
      <c r="D135" s="7" t="s">
        <v>353</v>
      </c>
      <c r="E135" s="10">
        <v>5.8</v>
      </c>
      <c r="F135" s="10">
        <v>8.6</v>
      </c>
      <c r="G135" s="3" t="str">
        <f>HYPERLINK("https://www.tejasnetworks.com/careers", "Apply / Careers ↗")</f>
        <v>Apply / Careers ↗</v>
      </c>
    </row>
    <row r="136" spans="1:7" ht="22.05" customHeight="1" x14ac:dyDescent="0.3">
      <c r="A136" s="11">
        <v>532</v>
      </c>
      <c r="B136" s="12" t="s">
        <v>1149</v>
      </c>
      <c r="C136" s="13" t="s">
        <v>1150</v>
      </c>
      <c r="D136" s="11" t="s">
        <v>446</v>
      </c>
      <c r="E136" s="14">
        <v>5</v>
      </c>
      <c r="F136" s="14">
        <v>7.6</v>
      </c>
      <c r="G136" s="2" t="str">
        <f>HYPERLINK("https://www.hfcl.com/careers", "Apply / Careers ↗")</f>
        <v>Apply / Careers ↗</v>
      </c>
    </row>
    <row r="137" spans="1:7" ht="22.05" customHeight="1" x14ac:dyDescent="0.3">
      <c r="A137" s="7">
        <v>533</v>
      </c>
      <c r="B137" s="8" t="s">
        <v>1151</v>
      </c>
      <c r="C137" s="9" t="s">
        <v>1152</v>
      </c>
      <c r="D137" s="7" t="s">
        <v>482</v>
      </c>
      <c r="E137" s="10">
        <v>5.2</v>
      </c>
      <c r="F137" s="10">
        <v>7.8</v>
      </c>
      <c r="G137" s="3" t="str">
        <f>HYPERLINK("https://www.stl.tech/careers/", "Apply / Careers ↗")</f>
        <v>Apply / Careers ↗</v>
      </c>
    </row>
    <row r="138" spans="1:7" ht="22.05" customHeight="1" x14ac:dyDescent="0.3">
      <c r="A138" s="11">
        <v>534</v>
      </c>
      <c r="B138" s="12" t="s">
        <v>1153</v>
      </c>
      <c r="C138" s="13" t="s">
        <v>1154</v>
      </c>
      <c r="D138" s="11" t="s">
        <v>384</v>
      </c>
      <c r="E138" s="14">
        <v>5.5</v>
      </c>
      <c r="F138" s="14">
        <v>8.1999999999999993</v>
      </c>
      <c r="G138" s="2" t="str">
        <f>HYPERLINK("https://www.ctrls.com/careers/", "Apply / Careers ↗")</f>
        <v>Apply / Careers ↗</v>
      </c>
    </row>
    <row r="139" spans="1:7" ht="22.05" customHeight="1" x14ac:dyDescent="0.3">
      <c r="A139" s="7">
        <v>535</v>
      </c>
      <c r="B139" s="8" t="s">
        <v>1155</v>
      </c>
      <c r="C139" s="9" t="s">
        <v>1156</v>
      </c>
      <c r="D139" s="7" t="s">
        <v>353</v>
      </c>
      <c r="E139" s="10">
        <v>5.8</v>
      </c>
      <c r="F139" s="10">
        <v>8.6</v>
      </c>
      <c r="G139" s="3" t="str">
        <f>HYPERLINK("https://yotta.com/careers/", "Apply / Careers ↗")</f>
        <v>Apply / Careers ↗</v>
      </c>
    </row>
    <row r="140" spans="1:7" ht="22.05" customHeight="1" x14ac:dyDescent="0.3">
      <c r="A140" s="11">
        <v>536</v>
      </c>
      <c r="B140" s="12" t="s">
        <v>1157</v>
      </c>
      <c r="C140" s="13" t="s">
        <v>1158</v>
      </c>
      <c r="D140" s="11" t="s">
        <v>482</v>
      </c>
      <c r="E140" s="14">
        <v>5.2</v>
      </c>
      <c r="F140" s="14">
        <v>7.8</v>
      </c>
      <c r="G140" s="2" t="str">
        <f>HYPERLINK("https://www.sifytechnologies.com/careers/", "Apply / Careers ↗")</f>
        <v>Apply / Careers ↗</v>
      </c>
    </row>
    <row r="141" spans="1:7" ht="22.05" customHeight="1" x14ac:dyDescent="0.3">
      <c r="A141" s="7">
        <v>537</v>
      </c>
      <c r="B141" s="8" t="s">
        <v>1159</v>
      </c>
      <c r="C141" s="9" t="s">
        <v>1160</v>
      </c>
      <c r="D141" s="7" t="s">
        <v>384</v>
      </c>
      <c r="E141" s="10">
        <v>5.5</v>
      </c>
      <c r="F141" s="10">
        <v>8.1999999999999993</v>
      </c>
      <c r="G141" s="3" t="str">
        <f>HYPERLINK("https://services.global.ntt/en-us/careers", "Apply / Careers ↗")</f>
        <v>Apply / Careers ↗</v>
      </c>
    </row>
    <row r="142" spans="1:7" ht="22.05" customHeight="1" x14ac:dyDescent="0.3">
      <c r="A142" s="11">
        <v>538</v>
      </c>
      <c r="B142" s="12" t="s">
        <v>1161</v>
      </c>
      <c r="C142" s="13" t="s">
        <v>1162</v>
      </c>
      <c r="D142" s="11" t="s">
        <v>482</v>
      </c>
      <c r="E142" s="14">
        <v>5.2</v>
      </c>
      <c r="F142" s="14">
        <v>7.8</v>
      </c>
      <c r="G142" s="2" t="str">
        <f>HYPERLINK("https://www.webwerks.in/careers", "Apply / Careers ↗")</f>
        <v>Apply / Careers ↗</v>
      </c>
    </row>
    <row r="143" spans="1:7" ht="22.05" customHeight="1" x14ac:dyDescent="0.3">
      <c r="A143" s="7">
        <v>539</v>
      </c>
      <c r="B143" s="8" t="s">
        <v>1163</v>
      </c>
      <c r="C143" s="9" t="s">
        <v>1164</v>
      </c>
      <c r="D143" s="7" t="s">
        <v>384</v>
      </c>
      <c r="E143" s="10">
        <v>5.5</v>
      </c>
      <c r="F143" s="10">
        <v>8.1999999999999993</v>
      </c>
      <c r="G143" s="3" t="str">
        <f>HYPERLINK("https://www.nxtra.in/careers", "Apply / Careers ↗")</f>
        <v>Apply / Careers ↗</v>
      </c>
    </row>
    <row r="144" spans="1:7" ht="22.05" customHeight="1" x14ac:dyDescent="0.3">
      <c r="A144" s="11">
        <v>540</v>
      </c>
      <c r="B144" s="12" t="s">
        <v>1165</v>
      </c>
      <c r="C144" s="13" t="s">
        <v>1166</v>
      </c>
      <c r="D144" s="11" t="s">
        <v>384</v>
      </c>
      <c r="E144" s="14">
        <v>5.5</v>
      </c>
      <c r="F144" s="14">
        <v>8.1999999999999993</v>
      </c>
      <c r="G144" s="2" t="str">
        <f>HYPERLINK("https://www.sttelemediagdc.in/careers", "Apply / Careers ↗")</f>
        <v>Apply / Careers ↗</v>
      </c>
    </row>
    <row r="145" spans="1:7" ht="22.05" customHeight="1" x14ac:dyDescent="0.3">
      <c r="A145" s="7">
        <v>541</v>
      </c>
      <c r="B145" s="8" t="s">
        <v>1167</v>
      </c>
      <c r="C145" s="9" t="s">
        <v>1168</v>
      </c>
      <c r="D145" s="7" t="s">
        <v>482</v>
      </c>
      <c r="E145" s="10">
        <v>5.2</v>
      </c>
      <c r="F145" s="10">
        <v>7.8</v>
      </c>
      <c r="G145" s="3" t="str">
        <f>HYPERLINK("https://redingtongroup.com/india/careers/", "Apply / Careers ↗")</f>
        <v>Apply / Careers ↗</v>
      </c>
    </row>
    <row r="146" spans="1:7" ht="22.05" customHeight="1" x14ac:dyDescent="0.3">
      <c r="A146" s="11">
        <v>542</v>
      </c>
      <c r="B146" s="12" t="s">
        <v>1169</v>
      </c>
      <c r="C146" s="13" t="s">
        <v>1170</v>
      </c>
      <c r="D146" s="11" t="s">
        <v>482</v>
      </c>
      <c r="E146" s="14">
        <v>5.2</v>
      </c>
      <c r="F146" s="14">
        <v>7.8</v>
      </c>
      <c r="G146" s="2" t="str">
        <f>HYPERLINK("https://corp.ingrammicro.com/en-us/careers", "Apply / Careers ↗")</f>
        <v>Apply / Careers ↗</v>
      </c>
    </row>
    <row r="147" spans="1:7" ht="22.05" customHeight="1" x14ac:dyDescent="0.3">
      <c r="A147" s="7">
        <v>543</v>
      </c>
      <c r="B147" s="8" t="s">
        <v>1171</v>
      </c>
      <c r="C147" s="9" t="s">
        <v>1172</v>
      </c>
      <c r="D147" s="7" t="s">
        <v>706</v>
      </c>
      <c r="E147" s="10">
        <v>4.8</v>
      </c>
      <c r="F147" s="10">
        <v>7.2</v>
      </c>
      <c r="G147" s="3" t="str">
        <f>HYPERLINK("https://rptechindia.com/careers/", "Apply / Careers ↗")</f>
        <v>Apply / Careers ↗</v>
      </c>
    </row>
    <row r="148" spans="1:7" ht="22.05" customHeight="1" x14ac:dyDescent="0.3">
      <c r="A148" s="11">
        <v>544</v>
      </c>
      <c r="B148" s="12" t="s">
        <v>1173</v>
      </c>
      <c r="C148" s="13" t="s">
        <v>1174</v>
      </c>
      <c r="D148" s="11" t="s">
        <v>706</v>
      </c>
      <c r="E148" s="14">
        <v>4.8</v>
      </c>
      <c r="F148" s="14">
        <v>7.2</v>
      </c>
      <c r="G148" s="2" t="str">
        <f>HYPERLINK("https://savex.com/careers/", "Apply / Careers ↗")</f>
        <v>Apply / Careers ↗</v>
      </c>
    </row>
    <row r="149" spans="1:7" ht="22.05" customHeight="1" x14ac:dyDescent="0.3">
      <c r="A149" s="7">
        <v>545</v>
      </c>
      <c r="B149" s="8" t="s">
        <v>1175</v>
      </c>
      <c r="C149" s="9" t="s">
        <v>1176</v>
      </c>
      <c r="D149" s="7" t="s">
        <v>1177</v>
      </c>
      <c r="E149" s="10">
        <v>4.5</v>
      </c>
      <c r="F149" s="10">
        <v>7</v>
      </c>
      <c r="G149" s="3" t="str">
        <f>HYPERLINK("https://www.supertronindia.com/careers", "Apply / Careers ↗")</f>
        <v>Apply / Careers ↗</v>
      </c>
    </row>
    <row r="150" spans="1:7" ht="22.05" customHeight="1" x14ac:dyDescent="0.3">
      <c r="A150" s="11">
        <v>546</v>
      </c>
      <c r="B150" s="12" t="s">
        <v>1178</v>
      </c>
      <c r="C150" s="13" t="s">
        <v>1179</v>
      </c>
      <c r="D150" s="11" t="s">
        <v>706</v>
      </c>
      <c r="E150" s="14">
        <v>4.8</v>
      </c>
      <c r="F150" s="14">
        <v>7.2</v>
      </c>
      <c r="G150" s="2" t="str">
        <f>HYPERLINK("https://in.dlink.com/en/careers", "Apply / Careers ↗")</f>
        <v>Apply / Careers ↗</v>
      </c>
    </row>
    <row r="151" spans="1:7" ht="22.05" customHeight="1" x14ac:dyDescent="0.3">
      <c r="A151" s="7">
        <v>547</v>
      </c>
      <c r="B151" s="8" t="s">
        <v>1180</v>
      </c>
      <c r="C151" s="9" t="s">
        <v>1181</v>
      </c>
      <c r="D151" s="7" t="s">
        <v>384</v>
      </c>
      <c r="E151" s="10">
        <v>5.5</v>
      </c>
      <c r="F151" s="10">
        <v>8.1999999999999993</v>
      </c>
      <c r="G151" s="3" t="str">
        <f>HYPERLINK("https://www.netgear.com/about/careers/", "Apply / Careers ↗")</f>
        <v>Apply / Careers ↗</v>
      </c>
    </row>
    <row r="152" spans="1:7" ht="22.05" customHeight="1" x14ac:dyDescent="0.3">
      <c r="A152" s="11">
        <v>548</v>
      </c>
      <c r="B152" s="12" t="s">
        <v>1182</v>
      </c>
      <c r="C152" s="13" t="s">
        <v>1183</v>
      </c>
      <c r="D152" s="11" t="s">
        <v>706</v>
      </c>
      <c r="E152" s="14">
        <v>4.8</v>
      </c>
      <c r="F152" s="14">
        <v>7.2</v>
      </c>
      <c r="G152" s="2" t="str">
        <f>HYPERLINK("https://www.tp-link.com/in/about-us/careers/", "Apply / Careers ↗")</f>
        <v>Apply / Careers ↗</v>
      </c>
    </row>
    <row r="153" spans="1:7" ht="22.05" customHeight="1" x14ac:dyDescent="0.3">
      <c r="A153" s="7">
        <v>549</v>
      </c>
      <c r="B153" s="8" t="s">
        <v>1184</v>
      </c>
      <c r="C153" s="9" t="s">
        <v>1185</v>
      </c>
      <c r="D153" s="7" t="s">
        <v>345</v>
      </c>
      <c r="E153" s="10">
        <v>6</v>
      </c>
      <c r="F153" s="10">
        <v>9</v>
      </c>
      <c r="G153" s="3" t="str">
        <f>HYPERLINK("https://www.se.com/in/en/about-us/careers/overview.jsp", "Apply / Careers ↗")</f>
        <v>Apply / Careers ↗</v>
      </c>
    </row>
    <row r="154" spans="1:7" ht="22.05" customHeight="1" x14ac:dyDescent="0.3">
      <c r="A154" s="11">
        <v>550</v>
      </c>
      <c r="B154" s="12" t="s">
        <v>1186</v>
      </c>
      <c r="C154" s="13" t="s">
        <v>1187</v>
      </c>
      <c r="D154" s="11" t="s">
        <v>345</v>
      </c>
      <c r="E154" s="14">
        <v>6</v>
      </c>
      <c r="F154" s="14">
        <v>9</v>
      </c>
      <c r="G154" s="2" t="str">
        <f>HYPERLINK("https://www.siemens.com/in/en/company/jobs.html", "Apply / Careers ↗")</f>
        <v>Apply / Careers ↗</v>
      </c>
    </row>
    <row r="155" spans="1:7" ht="22.05" customHeight="1" x14ac:dyDescent="0.3">
      <c r="A155" s="7">
        <v>551</v>
      </c>
      <c r="B155" s="8" t="s">
        <v>1188</v>
      </c>
      <c r="C155" s="9" t="s">
        <v>1189</v>
      </c>
      <c r="D155" s="7" t="s">
        <v>345</v>
      </c>
      <c r="E155" s="10">
        <v>6</v>
      </c>
      <c r="F155" s="10">
        <v>9</v>
      </c>
      <c r="G155" s="3" t="str">
        <f>HYPERLINK("https://global.abb/group/en/careers", "Apply / Careers ↗")</f>
        <v>Apply / Careers ↗</v>
      </c>
    </row>
    <row r="156" spans="1:7" ht="22.05" customHeight="1" x14ac:dyDescent="0.3">
      <c r="A156" s="11">
        <v>552</v>
      </c>
      <c r="B156" s="12" t="s">
        <v>1190</v>
      </c>
      <c r="C156" s="13" t="s">
        <v>1191</v>
      </c>
      <c r="D156" s="11" t="s">
        <v>340</v>
      </c>
      <c r="E156" s="14">
        <v>6.2</v>
      </c>
      <c r="F156" s="14">
        <v>9.1999999999999993</v>
      </c>
      <c r="G156" s="2" t="str">
        <f>HYPERLINK("https://careers.honeywell.com/us/en", "Apply / Careers ↗")</f>
        <v>Apply / Careers ↗</v>
      </c>
    </row>
    <row r="157" spans="1:7" ht="22.05" customHeight="1" x14ac:dyDescent="0.3">
      <c r="A157" s="7">
        <v>553</v>
      </c>
      <c r="B157" s="8" t="s">
        <v>1192</v>
      </c>
      <c r="C157" s="9" t="s">
        <v>1193</v>
      </c>
      <c r="D157" s="7" t="s">
        <v>353</v>
      </c>
      <c r="E157" s="10">
        <v>5.8</v>
      </c>
      <c r="F157" s="10">
        <v>8.6</v>
      </c>
      <c r="G157" s="3" t="str">
        <f>HYPERLINK("https://www.emerson.com/en-in/careers", "Apply / Careers ↗")</f>
        <v>Apply / Careers ↗</v>
      </c>
    </row>
    <row r="158" spans="1:7" ht="22.05" customHeight="1" x14ac:dyDescent="0.3">
      <c r="A158" s="11">
        <v>554</v>
      </c>
      <c r="B158" s="12" t="s">
        <v>1194</v>
      </c>
      <c r="C158" s="13" t="s">
        <v>1195</v>
      </c>
      <c r="D158" s="11" t="s">
        <v>353</v>
      </c>
      <c r="E158" s="14">
        <v>5.8</v>
      </c>
      <c r="F158" s="14">
        <v>8.6</v>
      </c>
      <c r="G158" s="2" t="str">
        <f>HYPERLINK("https://www.rockwellautomation.com/en-in/company/careers.html", "Apply / Careers ↗")</f>
        <v>Apply / Careers ↗</v>
      </c>
    </row>
    <row r="159" spans="1:7" ht="22.05" customHeight="1" x14ac:dyDescent="0.3">
      <c r="A159" s="7">
        <v>555</v>
      </c>
      <c r="B159" s="8" t="s">
        <v>1196</v>
      </c>
      <c r="C159" s="9" t="s">
        <v>1197</v>
      </c>
      <c r="D159" s="7" t="s">
        <v>387</v>
      </c>
      <c r="E159" s="10">
        <v>5.3</v>
      </c>
      <c r="F159" s="10">
        <v>8</v>
      </c>
      <c r="G159" s="3" t="str">
        <f>HYPERLINK("https://www.yokogawa.com/in/about/careers/", "Apply / Careers ↗")</f>
        <v>Apply / Careers ↗</v>
      </c>
    </row>
    <row r="160" spans="1:7" ht="22.05" customHeight="1" x14ac:dyDescent="0.3">
      <c r="A160" s="11">
        <v>556</v>
      </c>
      <c r="B160" s="12" t="s">
        <v>1198</v>
      </c>
      <c r="C160" s="13" t="s">
        <v>1199</v>
      </c>
      <c r="D160" s="11" t="s">
        <v>384</v>
      </c>
      <c r="E160" s="14">
        <v>5.5</v>
      </c>
      <c r="F160" s="14">
        <v>8.1999999999999993</v>
      </c>
      <c r="G160" s="2" t="str">
        <f>HYPERLINK("https://www.danfoss.com/en-in/about-danfoss/careers/", "Apply / Careers ↗")</f>
        <v>Apply / Careers ↗</v>
      </c>
    </row>
    <row r="161" spans="1:7" ht="22.05" customHeight="1" x14ac:dyDescent="0.3">
      <c r="A161" s="7">
        <v>557</v>
      </c>
      <c r="B161" s="8" t="s">
        <v>1200</v>
      </c>
      <c r="C161" s="9" t="s">
        <v>1201</v>
      </c>
      <c r="D161" s="7" t="s">
        <v>482</v>
      </c>
      <c r="E161" s="10">
        <v>5.2</v>
      </c>
      <c r="F161" s="10">
        <v>7.8</v>
      </c>
      <c r="G161" s="3" t="str">
        <f>HYPERLINK("https://www.thermaxglobal.com/careers/", "Apply / Careers ↗")</f>
        <v>Apply / Careers ↗</v>
      </c>
    </row>
    <row r="162" spans="1:7" ht="22.05" customHeight="1" x14ac:dyDescent="0.3">
      <c r="A162" s="11">
        <v>558</v>
      </c>
      <c r="B162" s="12" t="s">
        <v>1202</v>
      </c>
      <c r="C162" s="13" t="s">
        <v>1203</v>
      </c>
      <c r="D162" s="11" t="s">
        <v>446</v>
      </c>
      <c r="E162" s="14">
        <v>5</v>
      </c>
      <c r="F162" s="14">
        <v>7.6</v>
      </c>
      <c r="G162" s="2" t="str">
        <f>HYPERLINK("https://www.forbesmarshall.com/careers", "Apply / Careers ↗")</f>
        <v>Apply / Careers ↗</v>
      </c>
    </row>
    <row r="163" spans="1:7" ht="22.05" customHeight="1" x14ac:dyDescent="0.3">
      <c r="A163" s="7">
        <v>559</v>
      </c>
      <c r="B163" s="8" t="s">
        <v>1204</v>
      </c>
      <c r="C163" s="9" t="s">
        <v>1205</v>
      </c>
      <c r="D163" s="7" t="s">
        <v>446</v>
      </c>
      <c r="E163" s="10">
        <v>5</v>
      </c>
      <c r="F163" s="10">
        <v>7.6</v>
      </c>
      <c r="G163" s="3" t="str">
        <f>HYPERLINK("https://www.kirloskarpumps.com/careers/", "Apply / Careers ↗")</f>
        <v>Apply / Careers ↗</v>
      </c>
    </row>
    <row r="164" spans="1:7" ht="22.05" customHeight="1" x14ac:dyDescent="0.3">
      <c r="A164" s="11">
        <v>560</v>
      </c>
      <c r="B164" s="12" t="s">
        <v>1206</v>
      </c>
      <c r="C164" s="13" t="s">
        <v>1207</v>
      </c>
      <c r="D164" s="11" t="s">
        <v>446</v>
      </c>
      <c r="E164" s="14">
        <v>5</v>
      </c>
      <c r="F164" s="14">
        <v>7.6</v>
      </c>
      <c r="G164" s="2" t="str">
        <f>HYPERLINK("https://www.koel.co.in/careers", "Apply / Careers ↗")</f>
        <v>Apply / Careers ↗</v>
      </c>
    </row>
    <row r="165" spans="1:7" ht="22.05" customHeight="1" x14ac:dyDescent="0.3">
      <c r="A165" s="7">
        <v>561</v>
      </c>
      <c r="B165" s="8" t="s">
        <v>1208</v>
      </c>
      <c r="C165" s="9" t="s">
        <v>1209</v>
      </c>
      <c r="D165" s="7" t="s">
        <v>353</v>
      </c>
      <c r="E165" s="10">
        <v>5.8</v>
      </c>
      <c r="F165" s="10">
        <v>8.6</v>
      </c>
      <c r="G165" s="3" t="str">
        <f>HYPERLINK("https://www.cummins.com/careers", "Apply / Careers ↗")</f>
        <v>Apply / Careers ↗</v>
      </c>
    </row>
    <row r="166" spans="1:7" ht="22.05" customHeight="1" x14ac:dyDescent="0.3">
      <c r="A166" s="11">
        <v>562</v>
      </c>
      <c r="B166" s="12" t="s">
        <v>1210</v>
      </c>
      <c r="C166" s="13" t="s">
        <v>1211</v>
      </c>
      <c r="D166" s="11" t="s">
        <v>446</v>
      </c>
      <c r="E166" s="14">
        <v>5</v>
      </c>
      <c r="F166" s="14">
        <v>7.6</v>
      </c>
      <c r="G166" s="2" t="str">
        <f>HYPERLINK("https://www.greavescotton.com/careers", "Apply / Careers ↗")</f>
        <v>Apply / Careers ↗</v>
      </c>
    </row>
    <row r="167" spans="1:7" ht="22.05" customHeight="1" x14ac:dyDescent="0.3">
      <c r="A167" s="7">
        <v>563</v>
      </c>
      <c r="B167" s="8" t="s">
        <v>1212</v>
      </c>
      <c r="C167" s="9" t="s">
        <v>1213</v>
      </c>
      <c r="D167" s="7" t="s">
        <v>482</v>
      </c>
      <c r="E167" s="10">
        <v>5.2</v>
      </c>
      <c r="F167" s="10">
        <v>7.8</v>
      </c>
      <c r="G167" s="3" t="str">
        <f>HYPERLINK("https://www.escortsgroup.com/careers.html", "Apply / Careers ↗")</f>
        <v>Apply / Careers ↗</v>
      </c>
    </row>
    <row r="168" spans="1:7" ht="22.05" customHeight="1" x14ac:dyDescent="0.3">
      <c r="A168" s="11">
        <v>564</v>
      </c>
      <c r="B168" s="12" t="s">
        <v>1214</v>
      </c>
      <c r="C168" s="13" t="s">
        <v>1215</v>
      </c>
      <c r="D168" s="11" t="s">
        <v>706</v>
      </c>
      <c r="E168" s="14">
        <v>4.8</v>
      </c>
      <c r="F168" s="14">
        <v>7.2</v>
      </c>
      <c r="G168" s="2" t="str">
        <f>HYPERLINK("https://www.ace-cranes.com/careers", "Apply / Careers ↗")</f>
        <v>Apply / Careers ↗</v>
      </c>
    </row>
    <row r="169" spans="1:7" ht="22.05" customHeight="1" x14ac:dyDescent="0.3">
      <c r="A169" s="7">
        <v>565</v>
      </c>
      <c r="B169" s="8" t="s">
        <v>1216</v>
      </c>
      <c r="C169" s="9" t="s">
        <v>1217</v>
      </c>
      <c r="D169" s="7" t="s">
        <v>446</v>
      </c>
      <c r="E169" s="10">
        <v>5</v>
      </c>
      <c r="F169" s="10">
        <v>7.6</v>
      </c>
      <c r="G169" s="3" t="str">
        <f>HYPERLINK("https://www.bemlindia.in/current-openings/", "Apply / Careers ↗")</f>
        <v>Apply / Careers ↗</v>
      </c>
    </row>
    <row r="170" spans="1:7" ht="22.05" customHeight="1" x14ac:dyDescent="0.3">
      <c r="A170" s="11">
        <v>566</v>
      </c>
      <c r="B170" s="12" t="s">
        <v>1218</v>
      </c>
      <c r="C170" s="13" t="s">
        <v>1219</v>
      </c>
      <c r="D170" s="11" t="s">
        <v>482</v>
      </c>
      <c r="E170" s="14">
        <v>5.2</v>
      </c>
      <c r="F170" s="14">
        <v>7.8</v>
      </c>
      <c r="G170" s="2" t="str">
        <f>HYPERLINK("https://careers.bhel.in/", "Apply / Careers ↗")</f>
        <v>Apply / Careers ↗</v>
      </c>
    </row>
    <row r="171" spans="1:7" ht="22.05" customHeight="1" x14ac:dyDescent="0.3">
      <c r="A171" s="7">
        <v>567</v>
      </c>
      <c r="B171" s="8" t="s">
        <v>1220</v>
      </c>
      <c r="C171" s="9" t="s">
        <v>1221</v>
      </c>
      <c r="D171" s="7" t="s">
        <v>353</v>
      </c>
      <c r="E171" s="10">
        <v>5.8</v>
      </c>
      <c r="F171" s="10">
        <v>8.6</v>
      </c>
      <c r="G171" s="3" t="str">
        <f>HYPERLINK("https://www.larsentoubro.com/corporate/careers/", "Apply / Careers ↗")</f>
        <v>Apply / Careers ↗</v>
      </c>
    </row>
    <row r="172" spans="1:7" ht="22.05" customHeight="1" x14ac:dyDescent="0.3">
      <c r="A172" s="11">
        <v>568</v>
      </c>
      <c r="B172" s="12" t="s">
        <v>1222</v>
      </c>
      <c r="C172" s="13" t="s">
        <v>1223</v>
      </c>
      <c r="D172" s="11" t="s">
        <v>387</v>
      </c>
      <c r="E172" s="14">
        <v>5.3</v>
      </c>
      <c r="F172" s="14">
        <v>8</v>
      </c>
      <c r="G172" s="2" t="str">
        <f>HYPERLINK("https://www.tataprojects.com/careers/", "Apply / Careers ↗")</f>
        <v>Apply / Careers ↗</v>
      </c>
    </row>
    <row r="173" spans="1:7" ht="22.05" customHeight="1" x14ac:dyDescent="0.3">
      <c r="A173" s="7">
        <v>569</v>
      </c>
      <c r="B173" s="8" t="s">
        <v>1224</v>
      </c>
      <c r="C173" s="9" t="s">
        <v>1225</v>
      </c>
      <c r="D173" s="7" t="s">
        <v>482</v>
      </c>
      <c r="E173" s="10">
        <v>5.2</v>
      </c>
      <c r="F173" s="10">
        <v>7.8</v>
      </c>
      <c r="G173" s="3" t="str">
        <f>HYPERLINK("https://www.afcons.com/en/careers", "Apply / Careers ↗")</f>
        <v>Apply / Careers ↗</v>
      </c>
    </row>
    <row r="174" spans="1:7" ht="22.05" customHeight="1" x14ac:dyDescent="0.3">
      <c r="A174" s="11">
        <v>570</v>
      </c>
      <c r="B174" s="12" t="s">
        <v>1226</v>
      </c>
      <c r="C174" s="13" t="s">
        <v>1227</v>
      </c>
      <c r="D174" s="11" t="s">
        <v>446</v>
      </c>
      <c r="E174" s="14">
        <v>5</v>
      </c>
      <c r="F174" s="14">
        <v>7.6</v>
      </c>
      <c r="G174" s="2" t="str">
        <f>HYPERLINK("https://www.dilipbuildcon.com/careers/", "Apply / Careers ↗")</f>
        <v>Apply / Careers ↗</v>
      </c>
    </row>
    <row r="175" spans="1:7" ht="22.05" customHeight="1" x14ac:dyDescent="0.3">
      <c r="A175" s="7">
        <v>571</v>
      </c>
      <c r="B175" s="8" t="s">
        <v>1228</v>
      </c>
      <c r="C175" s="9" t="s">
        <v>1229</v>
      </c>
      <c r="D175" s="7" t="s">
        <v>446</v>
      </c>
      <c r="E175" s="10">
        <v>5</v>
      </c>
      <c r="F175" s="10">
        <v>7.6</v>
      </c>
      <c r="G175" s="3" t="str">
        <f>HYPERLINK("https://www.irb.co.in/careers/", "Apply / Careers ↗")</f>
        <v>Apply / Careers ↗</v>
      </c>
    </row>
    <row r="176" spans="1:7" ht="22.05" customHeight="1" x14ac:dyDescent="0.3">
      <c r="A176" s="11">
        <v>572</v>
      </c>
      <c r="B176" s="12" t="s">
        <v>1230</v>
      </c>
      <c r="C176" s="13" t="s">
        <v>1231</v>
      </c>
      <c r="D176" s="11" t="s">
        <v>706</v>
      </c>
      <c r="E176" s="14">
        <v>4.8</v>
      </c>
      <c r="F176" s="14">
        <v>7.2</v>
      </c>
      <c r="G176" s="2" t="str">
        <f>HYPERLINK("https://ncclimited.com/careers.html", "Apply / Careers ↗")</f>
        <v>Apply / Careers ↗</v>
      </c>
    </row>
    <row r="177" spans="1:7" ht="22.05" customHeight="1" x14ac:dyDescent="0.3">
      <c r="A177" s="7">
        <v>573</v>
      </c>
      <c r="B177" s="8" t="s">
        <v>1232</v>
      </c>
      <c r="C177" s="9" t="s">
        <v>1233</v>
      </c>
      <c r="D177" s="7" t="s">
        <v>706</v>
      </c>
      <c r="E177" s="10">
        <v>4.8</v>
      </c>
      <c r="F177" s="10">
        <v>7.2</v>
      </c>
      <c r="G177" s="3" t="str">
        <f>HYPERLINK("https://www.pncinfratech.com/careers.html", "Apply / Careers ↗")</f>
        <v>Apply / Careers ↗</v>
      </c>
    </row>
    <row r="178" spans="1:7" ht="22.05" customHeight="1" x14ac:dyDescent="0.3">
      <c r="A178" s="11">
        <v>574</v>
      </c>
      <c r="B178" s="12" t="s">
        <v>1234</v>
      </c>
      <c r="C178" s="13" t="s">
        <v>1235</v>
      </c>
      <c r="D178" s="11" t="s">
        <v>706</v>
      </c>
      <c r="E178" s="14">
        <v>4.8</v>
      </c>
      <c r="F178" s="14">
        <v>7.2</v>
      </c>
      <c r="G178" s="2" t="str">
        <f>HYPERLINK("https://www.knrcl.com/careers.html", "Apply / Careers ↗")</f>
        <v>Apply / Careers ↗</v>
      </c>
    </row>
    <row r="179" spans="1:7" ht="22.05" customHeight="1" x14ac:dyDescent="0.3">
      <c r="A179" s="7">
        <v>575</v>
      </c>
      <c r="B179" s="8" t="s">
        <v>1236</v>
      </c>
      <c r="C179" s="9" t="s">
        <v>1237</v>
      </c>
      <c r="D179" s="7" t="s">
        <v>706</v>
      </c>
      <c r="E179" s="10">
        <v>4.8</v>
      </c>
      <c r="F179" s="10">
        <v>7.2</v>
      </c>
      <c r="G179" s="3" t="str">
        <f>HYPERLINK("https://www.grinfra.com/careers", "Apply / Careers ↗")</f>
        <v>Apply / Careers ↗</v>
      </c>
    </row>
    <row r="180" spans="1:7" ht="22.05" customHeight="1" x14ac:dyDescent="0.3">
      <c r="A180" s="11">
        <v>576</v>
      </c>
      <c r="B180" s="12" t="s">
        <v>1238</v>
      </c>
      <c r="C180" s="13" t="s">
        <v>1239</v>
      </c>
      <c r="D180" s="11" t="s">
        <v>384</v>
      </c>
      <c r="E180" s="14">
        <v>5.5</v>
      </c>
      <c r="F180" s="14">
        <v>8.1999999999999993</v>
      </c>
      <c r="G180" s="2" t="str">
        <f>HYPERLINK("https://www.gmrgroup.in/careers/", "Apply / Careers ↗")</f>
        <v>Apply / Careers ↗</v>
      </c>
    </row>
    <row r="181" spans="1:7" ht="22.05" customHeight="1" x14ac:dyDescent="0.3">
      <c r="A181" s="7">
        <v>577</v>
      </c>
      <c r="B181" s="8" t="s">
        <v>1240</v>
      </c>
      <c r="C181" s="9" t="s">
        <v>1241</v>
      </c>
      <c r="D181" s="7" t="s">
        <v>353</v>
      </c>
      <c r="E181" s="10">
        <v>5.8</v>
      </c>
      <c r="F181" s="10">
        <v>8.6</v>
      </c>
      <c r="G181" s="3" t="str">
        <f>HYPERLINK("https://www.adaniports.com/careers", "Apply / Careers ↗")</f>
        <v>Apply / Careers ↗</v>
      </c>
    </row>
    <row r="182" spans="1:7" ht="22.05" customHeight="1" x14ac:dyDescent="0.3">
      <c r="A182" s="11">
        <v>578</v>
      </c>
      <c r="B182" s="12" t="s">
        <v>1242</v>
      </c>
      <c r="C182" s="13" t="s">
        <v>1243</v>
      </c>
      <c r="D182" s="11" t="s">
        <v>482</v>
      </c>
      <c r="E182" s="14">
        <v>5.2</v>
      </c>
      <c r="F182" s="14">
        <v>7.8</v>
      </c>
      <c r="G182" s="2" t="str">
        <f>HYPERLINK("https://www.jsw.in/infrastructure/careers", "Apply / Careers ↗")</f>
        <v>Apply / Careers ↗</v>
      </c>
    </row>
    <row r="183" spans="1:7" ht="22.05" customHeight="1" x14ac:dyDescent="0.3">
      <c r="A183" s="7">
        <v>579</v>
      </c>
      <c r="B183" s="8" t="s">
        <v>1244</v>
      </c>
      <c r="C183" s="9" t="s">
        <v>1245</v>
      </c>
      <c r="D183" s="7" t="s">
        <v>482</v>
      </c>
      <c r="E183" s="10">
        <v>5.2</v>
      </c>
      <c r="F183" s="10">
        <v>7.8</v>
      </c>
      <c r="G183" s="3" t="str">
        <f>HYPERLINK("https://www.pipavav.com/careers", "Apply / Careers ↗")</f>
        <v>Apply / Careers ↗</v>
      </c>
    </row>
    <row r="184" spans="1:7" ht="22.05" customHeight="1" x14ac:dyDescent="0.3">
      <c r="A184" s="11">
        <v>580</v>
      </c>
      <c r="B184" s="12" t="s">
        <v>1246</v>
      </c>
      <c r="C184" s="13" t="s">
        <v>1247</v>
      </c>
      <c r="D184" s="11" t="s">
        <v>446</v>
      </c>
      <c r="E184" s="14">
        <v>5</v>
      </c>
      <c r="F184" s="14">
        <v>7.6</v>
      </c>
      <c r="G184" s="2" t="str">
        <f>HYPERLINK("https://cochinshipyard.in/career", "Apply / Careers ↗")</f>
        <v>Apply / Careers ↗</v>
      </c>
    </row>
    <row r="185" spans="1:7" ht="22.05" customHeight="1" x14ac:dyDescent="0.3">
      <c r="A185" s="7">
        <v>581</v>
      </c>
      <c r="B185" s="8" t="s">
        <v>1248</v>
      </c>
      <c r="C185" s="9" t="s">
        <v>1249</v>
      </c>
      <c r="D185" s="7" t="s">
        <v>446</v>
      </c>
      <c r="E185" s="10">
        <v>5</v>
      </c>
      <c r="F185" s="10">
        <v>7.6</v>
      </c>
      <c r="G185" s="3" t="str">
        <f>HYPERLINK("https://mazagondock.in/Career-Openings.aspx", "Apply / Careers ↗")</f>
        <v>Apply / Careers ↗</v>
      </c>
    </row>
    <row r="186" spans="1:7" ht="22.05" customHeight="1" x14ac:dyDescent="0.3">
      <c r="A186" s="11">
        <v>582</v>
      </c>
      <c r="B186" s="12" t="s">
        <v>1250</v>
      </c>
      <c r="C186" s="13" t="s">
        <v>1251</v>
      </c>
      <c r="D186" s="11" t="s">
        <v>706</v>
      </c>
      <c r="E186" s="14">
        <v>4.8</v>
      </c>
      <c r="F186" s="14">
        <v>7.2</v>
      </c>
      <c r="G186" s="2" t="str">
        <f>HYPERLINK("https://grse.in/job-openings/", "Apply / Careers ↗")</f>
        <v>Apply / Careers ↗</v>
      </c>
    </row>
    <row r="187" spans="1:7" ht="22.05" customHeight="1" x14ac:dyDescent="0.3">
      <c r="A187" s="7">
        <v>583</v>
      </c>
      <c r="B187" s="8" t="s">
        <v>1252</v>
      </c>
      <c r="C187" s="9" t="s">
        <v>1253</v>
      </c>
      <c r="D187" s="7" t="s">
        <v>387</v>
      </c>
      <c r="E187" s="10">
        <v>5.3</v>
      </c>
      <c r="F187" s="10">
        <v>8</v>
      </c>
      <c r="G187" s="3" t="str">
        <f>HYPERLINK("https://hal-india.co.in/Career_Docs.aspx", "Apply / Careers ↗")</f>
        <v>Apply / Careers ↗</v>
      </c>
    </row>
    <row r="188" spans="1:7" ht="22.05" customHeight="1" x14ac:dyDescent="0.3">
      <c r="A188" s="11">
        <v>584</v>
      </c>
      <c r="B188" s="12" t="s">
        <v>1254</v>
      </c>
      <c r="C188" s="13" t="s">
        <v>1255</v>
      </c>
      <c r="D188" s="11" t="s">
        <v>387</v>
      </c>
      <c r="E188" s="14">
        <v>5.3</v>
      </c>
      <c r="F188" s="14">
        <v>8</v>
      </c>
      <c r="G188" s="2" t="str">
        <f>HYPERLINK("https://bel-india.in/careers/", "Apply / Careers ↗")</f>
        <v>Apply / Careers ↗</v>
      </c>
    </row>
    <row r="189" spans="1:7" ht="22.05" customHeight="1" x14ac:dyDescent="0.3">
      <c r="A189" s="7">
        <v>585</v>
      </c>
      <c r="B189" s="8" t="s">
        <v>1256</v>
      </c>
      <c r="C189" s="9" t="s">
        <v>1257</v>
      </c>
      <c r="D189" s="7" t="s">
        <v>446</v>
      </c>
      <c r="E189" s="10">
        <v>5</v>
      </c>
      <c r="F189" s="10">
        <v>7.6</v>
      </c>
      <c r="G189" s="3" t="str">
        <f>HYPERLINK("https://bdl-india.in/careers", "Apply / Careers ↗")</f>
        <v>Apply / Careers ↗</v>
      </c>
    </row>
    <row r="190" spans="1:7" ht="22.05" customHeight="1" x14ac:dyDescent="0.3">
      <c r="A190" s="11">
        <v>586</v>
      </c>
      <c r="B190" s="12" t="s">
        <v>1258</v>
      </c>
      <c r="C190" s="13" t="s">
        <v>1259</v>
      </c>
      <c r="D190" s="11" t="s">
        <v>446</v>
      </c>
      <c r="E190" s="14">
        <v>5</v>
      </c>
      <c r="F190" s="14">
        <v>7.6</v>
      </c>
      <c r="G190" s="2" t="str">
        <f>HYPERLINK("https://www.astramwp.com/careers/", "Apply / Careers ↗")</f>
        <v>Apply / Careers ↗</v>
      </c>
    </row>
    <row r="191" spans="1:7" ht="22.05" customHeight="1" x14ac:dyDescent="0.3">
      <c r="A191" s="7">
        <v>587</v>
      </c>
      <c r="B191" s="8" t="s">
        <v>1260</v>
      </c>
      <c r="C191" s="9" t="s">
        <v>1261</v>
      </c>
      <c r="D191" s="7" t="s">
        <v>387</v>
      </c>
      <c r="E191" s="10">
        <v>5.3</v>
      </c>
      <c r="F191" s="10">
        <v>8</v>
      </c>
      <c r="G191" s="3" t="str">
        <f>HYPERLINK("https://www.datapatternsindia.com/careers/", "Apply / Careers ↗")</f>
        <v>Apply / Careers ↗</v>
      </c>
    </row>
    <row r="192" spans="1:7" ht="22.05" customHeight="1" x14ac:dyDescent="0.3">
      <c r="A192" s="11">
        <v>588</v>
      </c>
      <c r="B192" s="12" t="s">
        <v>1262</v>
      </c>
      <c r="C192" s="13" t="s">
        <v>1263</v>
      </c>
      <c r="D192" s="11" t="s">
        <v>446</v>
      </c>
      <c r="E192" s="14">
        <v>5</v>
      </c>
      <c r="F192" s="14">
        <v>7.6</v>
      </c>
      <c r="G192" s="2" t="str">
        <f>HYPERLINK("https://www.parasdefence.com/careers/", "Apply / Careers ↗")</f>
        <v>Apply / Careers ↗</v>
      </c>
    </row>
    <row r="193" spans="1:7" ht="22.05" customHeight="1" x14ac:dyDescent="0.3">
      <c r="A193" s="7">
        <v>589</v>
      </c>
      <c r="B193" s="8" t="s">
        <v>1264</v>
      </c>
      <c r="C193" s="9" t="s">
        <v>1265</v>
      </c>
      <c r="D193" s="7" t="s">
        <v>482</v>
      </c>
      <c r="E193" s="10">
        <v>5.2</v>
      </c>
      <c r="F193" s="10">
        <v>7.8</v>
      </c>
      <c r="G193" s="3" t="str">
        <f>HYPERLINK("https://www.zentechnologies.com/careers", "Apply / Careers ↗")</f>
        <v>Apply / Careers ↗</v>
      </c>
    </row>
    <row r="194" spans="1:7" ht="22.05" customHeight="1" x14ac:dyDescent="0.3">
      <c r="A194" s="11">
        <v>590</v>
      </c>
      <c r="B194" s="12" t="s">
        <v>1266</v>
      </c>
      <c r="C194" s="13" t="s">
        <v>1267</v>
      </c>
      <c r="D194" s="11" t="s">
        <v>482</v>
      </c>
      <c r="E194" s="14">
        <v>5.2</v>
      </c>
      <c r="F194" s="14">
        <v>7.8</v>
      </c>
      <c r="G194" s="2" t="str">
        <f>HYPERLINK("https://www.dynamatics.com/careers.html", "Apply / Careers ↗")</f>
        <v>Apply / Careers ↗</v>
      </c>
    </row>
    <row r="195" spans="1:7" ht="22.05" customHeight="1" x14ac:dyDescent="0.3">
      <c r="A195" s="7">
        <v>591</v>
      </c>
      <c r="B195" s="8" t="s">
        <v>1268</v>
      </c>
      <c r="C195" s="9" t="s">
        <v>1269</v>
      </c>
      <c r="D195" s="7" t="s">
        <v>482</v>
      </c>
      <c r="E195" s="10">
        <v>5.2</v>
      </c>
      <c r="F195" s="10">
        <v>7.8</v>
      </c>
      <c r="G195" s="3" t="str">
        <f>HYPERLINK("https://www.suntv.in/careers/", "Apply / Careers ↗")</f>
        <v>Apply / Careers ↗</v>
      </c>
    </row>
    <row r="196" spans="1:7" ht="22.05" customHeight="1" x14ac:dyDescent="0.3">
      <c r="A196" s="11">
        <v>592</v>
      </c>
      <c r="B196" s="12" t="s">
        <v>1270</v>
      </c>
      <c r="C196" s="13" t="s">
        <v>1271</v>
      </c>
      <c r="D196" s="11" t="s">
        <v>387</v>
      </c>
      <c r="E196" s="14">
        <v>5.3</v>
      </c>
      <c r="F196" s="14">
        <v>8</v>
      </c>
      <c r="G196" s="2" t="str">
        <f>HYPERLINK("https://www.aha.video/careers", "Apply / Careers ↗")</f>
        <v>Apply / Careers ↗</v>
      </c>
    </row>
    <row r="197" spans="1:7" ht="22.05" customHeight="1" x14ac:dyDescent="0.3">
      <c r="A197" s="7">
        <v>593</v>
      </c>
      <c r="B197" s="8" t="s">
        <v>1272</v>
      </c>
      <c r="C197" s="9" t="s">
        <v>1273</v>
      </c>
      <c r="D197" s="7" t="s">
        <v>340</v>
      </c>
      <c r="E197" s="10">
        <v>6.2</v>
      </c>
      <c r="F197" s="10">
        <v>9.1999999999999993</v>
      </c>
      <c r="G197" s="3" t="str">
        <f>HYPERLINK("https://in.bookmyshow.com/careers", "Apply / Careers ↗")</f>
        <v>Apply / Careers ↗</v>
      </c>
    </row>
    <row r="198" spans="1:7" ht="22.05" customHeight="1" x14ac:dyDescent="0.3">
      <c r="A198" s="11">
        <v>594</v>
      </c>
      <c r="B198" s="12" t="s">
        <v>1274</v>
      </c>
      <c r="C198" s="13" t="s">
        <v>1275</v>
      </c>
      <c r="D198" s="11" t="s">
        <v>387</v>
      </c>
      <c r="E198" s="14">
        <v>5.3</v>
      </c>
      <c r="F198" s="14">
        <v>8</v>
      </c>
      <c r="G198" s="2" t="str">
        <f>HYPERLINK("https://www.pvrcinemas.com/careers", "Apply / Careers ↗")</f>
        <v>Apply / Careers ↗</v>
      </c>
    </row>
    <row r="199" spans="1:7" ht="22.05" customHeight="1" x14ac:dyDescent="0.3">
      <c r="A199" s="7">
        <v>595</v>
      </c>
      <c r="B199" s="8" t="s">
        <v>1276</v>
      </c>
      <c r="C199" s="9" t="s">
        <v>1277</v>
      </c>
      <c r="D199" s="7" t="s">
        <v>340</v>
      </c>
      <c r="E199" s="10">
        <v>6.2</v>
      </c>
      <c r="F199" s="10">
        <v>9.1999999999999993</v>
      </c>
      <c r="G199" s="3" t="str">
        <f>HYPERLINK("https://timesinternet.in/careers", "Apply / Careers ↗")</f>
        <v>Apply / Careers ↗</v>
      </c>
    </row>
    <row r="200" spans="1:7" ht="22.05" customHeight="1" x14ac:dyDescent="0.3">
      <c r="A200" s="11">
        <v>596</v>
      </c>
      <c r="B200" s="12" t="s">
        <v>1278</v>
      </c>
      <c r="C200" s="13" t="s">
        <v>1279</v>
      </c>
      <c r="D200" s="11" t="s">
        <v>446</v>
      </c>
      <c r="E200" s="14">
        <v>5</v>
      </c>
      <c r="F200" s="14">
        <v>7.6</v>
      </c>
      <c r="G200" s="2" t="str">
        <f>HYPERLINK("https://www.shemaroo.com/careers", "Apply / Careers ↗")</f>
        <v>Apply / Careers ↗</v>
      </c>
    </row>
    <row r="201" spans="1:7" ht="22.05" customHeight="1" x14ac:dyDescent="0.3">
      <c r="A201" s="7">
        <v>597</v>
      </c>
      <c r="B201" s="8" t="s">
        <v>1280</v>
      </c>
      <c r="C201" s="9" t="s">
        <v>1281</v>
      </c>
      <c r="D201" s="7" t="s">
        <v>353</v>
      </c>
      <c r="E201" s="10">
        <v>5.8</v>
      </c>
      <c r="F201" s="10">
        <v>8.6</v>
      </c>
      <c r="G201" s="3" t="str">
        <f>HYPERLINK("https://www.nw18.com/careers/", "Apply / Careers ↗")</f>
        <v>Apply / Careers ↗</v>
      </c>
    </row>
    <row r="202" spans="1:7" ht="22.05" customHeight="1" x14ac:dyDescent="0.3">
      <c r="A202" s="11">
        <v>598</v>
      </c>
      <c r="B202" s="12" t="s">
        <v>1282</v>
      </c>
      <c r="C202" s="13" t="s">
        <v>1283</v>
      </c>
      <c r="D202" s="11" t="s">
        <v>482</v>
      </c>
      <c r="E202" s="14">
        <v>5.2</v>
      </c>
      <c r="F202" s="14">
        <v>7.8</v>
      </c>
      <c r="G202" s="2" t="str">
        <f>HYPERLINK("https://www.ndtv.com/jobs", "Apply / Careers ↗")</f>
        <v>Apply / Careers ↗</v>
      </c>
    </row>
    <row r="203" spans="1:7" ht="22.05" customHeight="1" x14ac:dyDescent="0.3">
      <c r="A203" s="7">
        <v>599</v>
      </c>
      <c r="B203" s="8" t="s">
        <v>1284</v>
      </c>
      <c r="C203" s="9" t="s">
        <v>1285</v>
      </c>
      <c r="D203" s="7" t="s">
        <v>482</v>
      </c>
      <c r="E203" s="10">
        <v>5.2</v>
      </c>
      <c r="F203" s="10">
        <v>7.8</v>
      </c>
      <c r="G203" s="3" t="str">
        <f>HYPERLINK("https://www.indiatodaygroup.com/careers.php", "Apply / Careers ↗")</f>
        <v>Apply / Careers ↗</v>
      </c>
    </row>
    <row r="204" spans="1:7" ht="22.05" customHeight="1" x14ac:dyDescent="0.3">
      <c r="A204" s="11">
        <v>600</v>
      </c>
      <c r="B204" s="12" t="s">
        <v>1286</v>
      </c>
      <c r="C204" s="13" t="s">
        <v>1287</v>
      </c>
      <c r="D204" s="11" t="s">
        <v>482</v>
      </c>
      <c r="E204" s="14">
        <v>5.2</v>
      </c>
      <c r="F204" s="14">
        <v>7.8</v>
      </c>
      <c r="G204" s="2" t="str">
        <f>HYPERLINK("https://www.htmedia.in/careers", "Apply / Careers ↗")</f>
        <v>Apply / Careers ↗</v>
      </c>
    </row>
  </sheetData>
  <autoFilter ref="A4:G204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Companies (1-600)</vt:lpstr>
      <vt:lpstr>Ranks 1-200 (Part 1)</vt:lpstr>
      <vt:lpstr>Ranks 201-400 (Part 2)</vt:lpstr>
      <vt:lpstr>Ranks 401-600 (Part 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Ruturaj Chavan</cp:lastModifiedBy>
  <dcterms:created xsi:type="dcterms:W3CDTF">2026-10-11T16:59:47Z</dcterms:created>
  <dcterms:modified xsi:type="dcterms:W3CDTF">2026-10-11T17:05:40Z</dcterms:modified>
</cp:coreProperties>
</file>